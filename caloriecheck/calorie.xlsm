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72.16.0.128\students\平成29年度\01_高度ITビジネス科\2年生\プログラム言語III (VC#)\課題提出\下山瑞貴\caloriecheck\caloriecheck\"/>
    </mc:Choice>
  </mc:AlternateContent>
  <bookViews>
    <workbookView xWindow="0" yWindow="0" windowWidth="19440" windowHeight="8115"/>
  </bookViews>
  <sheets>
    <sheet name="main" sheetId="1" r:id="rId1"/>
    <sheet name="主食" sheetId="2" r:id="rId2"/>
    <sheet name="主菜" sheetId="3" r:id="rId3"/>
    <sheet name="副菜" sheetId="4" r:id="rId4"/>
    <sheet name="汁もの" sheetId="5" r:id="rId5"/>
    <sheet name="デザート・飲み物" sheetId="6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1" i="1" l="1"/>
  <c r="E41" i="1"/>
  <c r="D41" i="1"/>
  <c r="C41" i="1"/>
  <c r="G41" i="1" s="1"/>
  <c r="F39" i="1"/>
  <c r="E39" i="1"/>
  <c r="D39" i="1"/>
  <c r="C39" i="1"/>
  <c r="F37" i="1"/>
  <c r="E37" i="1"/>
  <c r="D37" i="1"/>
  <c r="C37" i="1"/>
  <c r="G37" i="1" s="1"/>
  <c r="F35" i="1"/>
  <c r="E35" i="1"/>
  <c r="D35" i="1"/>
  <c r="C35" i="1"/>
  <c r="F33" i="1"/>
  <c r="E33" i="1"/>
  <c r="D33" i="1"/>
  <c r="C33" i="1"/>
  <c r="F31" i="1"/>
  <c r="E31" i="1"/>
  <c r="D31" i="1"/>
  <c r="C31" i="1"/>
  <c r="G31" i="1" s="1"/>
  <c r="F29" i="1"/>
  <c r="E29" i="1"/>
  <c r="D29" i="1"/>
  <c r="C29" i="1"/>
  <c r="F27" i="1"/>
  <c r="E27" i="1"/>
  <c r="D27" i="1"/>
  <c r="C27" i="1"/>
  <c r="G27" i="1" s="1"/>
  <c r="F25" i="1"/>
  <c r="E25" i="1"/>
  <c r="D25" i="1"/>
  <c r="C25" i="1"/>
  <c r="F23" i="1"/>
  <c r="E23" i="1"/>
  <c r="D23" i="1"/>
  <c r="C23" i="1"/>
  <c r="F21" i="1"/>
  <c r="E21" i="1"/>
  <c r="D21" i="1"/>
  <c r="C21" i="1"/>
  <c r="G21" i="1" s="1"/>
  <c r="F19" i="1"/>
  <c r="E19" i="1"/>
  <c r="D19" i="1"/>
  <c r="C19" i="1"/>
  <c r="F17" i="1"/>
  <c r="E17" i="1"/>
  <c r="D17" i="1"/>
  <c r="C17" i="1"/>
  <c r="G17" i="1" s="1"/>
  <c r="F15" i="1"/>
  <c r="E15" i="1"/>
  <c r="D15" i="1"/>
  <c r="C15" i="1"/>
  <c r="F13" i="1"/>
  <c r="E13" i="1"/>
  <c r="D13" i="1"/>
  <c r="C13" i="1"/>
  <c r="D11" i="1"/>
  <c r="E11" i="1"/>
  <c r="F11" i="1"/>
  <c r="C11" i="1"/>
  <c r="D9" i="1"/>
  <c r="E9" i="1"/>
  <c r="F9" i="1"/>
  <c r="C9" i="1"/>
  <c r="D7" i="1"/>
  <c r="G7" i="1" s="1"/>
  <c r="E7" i="1"/>
  <c r="F7" i="1"/>
  <c r="C7" i="1"/>
  <c r="D5" i="1"/>
  <c r="E5" i="1"/>
  <c r="F5" i="1"/>
  <c r="C5" i="1"/>
  <c r="D3" i="1"/>
  <c r="E3" i="1"/>
  <c r="F3" i="1"/>
  <c r="C3" i="1"/>
  <c r="G11" i="1" l="1"/>
  <c r="G39" i="1"/>
  <c r="G35" i="1"/>
  <c r="G33" i="1"/>
  <c r="G29" i="1"/>
  <c r="G25" i="1"/>
  <c r="G23" i="1"/>
  <c r="G19" i="1"/>
  <c r="G15" i="1"/>
  <c r="G13" i="1"/>
  <c r="G9" i="1"/>
  <c r="G5" i="1"/>
  <c r="G3" i="1"/>
  <c r="K5" i="1" l="1"/>
  <c r="K4" i="1"/>
  <c r="K3" i="1"/>
  <c r="K2" i="1"/>
  <c r="M5" i="1" l="1"/>
</calcChain>
</file>

<file path=xl/sharedStrings.xml><?xml version="1.0" encoding="utf-8"?>
<sst xmlns="http://schemas.openxmlformats.org/spreadsheetml/2006/main" count="1507" uniqueCount="443">
  <si>
    <t>ごはん（１膳）</t>
  </si>
  <si>
    <t>○</t>
  </si>
  <si>
    <t>×</t>
  </si>
  <si>
    <t>－</t>
  </si>
  <si>
    <t>これ以上は炭水化物の摂り過ぎ</t>
  </si>
  <si>
    <t>玄米（１膳）</t>
  </si>
  <si>
    <t>ビタミンや食物繊維が摂れる</t>
  </si>
  <si>
    <t>赤飯（１膳）</t>
  </si>
  <si>
    <t>おにぎり</t>
  </si>
  <si>
    <t>マヨネーズ入りはカロリーが高め</t>
  </si>
  <si>
    <t>もち１個</t>
  </si>
  <si>
    <t>雑煮なら野菜が豊富</t>
  </si>
  <si>
    <t>親子丼</t>
  </si>
  <si>
    <t>ごはんの量を少なめに</t>
  </si>
  <si>
    <t>カツ丼</t>
  </si>
  <si>
    <t>衣のカロリーが高い</t>
  </si>
  <si>
    <t>牛丼</t>
  </si>
  <si>
    <t>うな丼</t>
  </si>
  <si>
    <t>脂肪分がかなり多い</t>
  </si>
  <si>
    <t>天丼</t>
  </si>
  <si>
    <t>△</t>
  </si>
  <si>
    <t>中華丼</t>
  </si>
  <si>
    <t>野菜が多く全体のバランスが良い</t>
  </si>
  <si>
    <t>麻婆丼</t>
  </si>
  <si>
    <t>ひき肉やあんに脂肪分が多い</t>
  </si>
  <si>
    <t>チキンカレー</t>
  </si>
  <si>
    <t>ルーに脂肪が多く含まれている</t>
  </si>
  <si>
    <t>ビーフカレー</t>
  </si>
  <si>
    <t>カツカレー</t>
  </si>
  <si>
    <t>シーフードカレー</t>
  </si>
  <si>
    <t>シーフードは脂肪が少ない</t>
  </si>
  <si>
    <t>チャーハン</t>
  </si>
  <si>
    <t>卵・バターなど脂肪が多い</t>
  </si>
  <si>
    <t>ドリア</t>
  </si>
  <si>
    <t>ホワイトソースが高カロリー</t>
  </si>
  <si>
    <t>オムライス</t>
  </si>
  <si>
    <t>パエリア</t>
  </si>
  <si>
    <t>バランスが良く油もオリーブオイル</t>
  </si>
  <si>
    <t>寿司　並 １人前</t>
  </si>
  <si>
    <t>特上は大トロなどで高脂肪</t>
  </si>
  <si>
    <t>刺身定食</t>
  </si>
  <si>
    <t>脂質が少なくて良い</t>
  </si>
  <si>
    <t>焼き魚定食</t>
  </si>
  <si>
    <t>全体のバランスが良い</t>
  </si>
  <si>
    <t>肉野菜炒め定食</t>
  </si>
  <si>
    <t>バランスが良いが油を控えめに</t>
  </si>
  <si>
    <t>レバニラ定食</t>
  </si>
  <si>
    <t>酢豚定食</t>
  </si>
  <si>
    <t>カルシウムが不足</t>
  </si>
  <si>
    <t>唐揚げ定食</t>
  </si>
  <si>
    <t>脂質が少し多い</t>
  </si>
  <si>
    <t>しゃぶしゃぶ定食</t>
  </si>
  <si>
    <t>油が落ちるので脂質が少ない</t>
  </si>
  <si>
    <t>ビーフシチュー定食</t>
  </si>
  <si>
    <t>ヒレカツ定食</t>
  </si>
  <si>
    <t>しゃけ弁当</t>
  </si>
  <si>
    <t>野菜が不足</t>
  </si>
  <si>
    <t>唐揚げ弁当</t>
  </si>
  <si>
    <t>揚げ物で高カロリー</t>
  </si>
  <si>
    <t>幕の内弁当</t>
  </si>
  <si>
    <t>揚げ物の衣が高カロリー</t>
  </si>
  <si>
    <t>焼肉弁当</t>
  </si>
  <si>
    <t>肉に脂身が多く高脂肪</t>
  </si>
  <si>
    <t>牛カルビ弁当</t>
  </si>
  <si>
    <t>ざるそば</t>
  </si>
  <si>
    <t>炭水化物に偏っている</t>
  </si>
  <si>
    <t>かけそば</t>
  </si>
  <si>
    <t>とろろそば</t>
  </si>
  <si>
    <t>卵などでたんぱく質が摂れる</t>
  </si>
  <si>
    <t>たぬきそば</t>
  </si>
  <si>
    <t>天ぷらよりは脂質が少ない</t>
  </si>
  <si>
    <t>月見そば</t>
  </si>
  <si>
    <t>卵でたんぱく質が摂れる</t>
  </si>
  <si>
    <t>天ぷらそば</t>
  </si>
  <si>
    <t>天ぷらのカロリーが高い</t>
  </si>
  <si>
    <t>ざるうどん</t>
  </si>
  <si>
    <t>そばよりカロリーが低い</t>
  </si>
  <si>
    <t>きつねうどん</t>
  </si>
  <si>
    <t>油揚げでたんぱく質が摂れる</t>
  </si>
  <si>
    <t>カレーうどん</t>
  </si>
  <si>
    <t>たんぱく質が摂れる</t>
  </si>
  <si>
    <t>力うどん</t>
  </si>
  <si>
    <t>炭水化物の摂りすぎ</t>
  </si>
  <si>
    <t>鍋焼きうどん</t>
  </si>
  <si>
    <t>栄養バランスがなかなか良い</t>
  </si>
  <si>
    <t>焼きうどん</t>
  </si>
  <si>
    <t>油を控えめに</t>
  </si>
  <si>
    <t>そうめん</t>
  </si>
  <si>
    <t>しょうゆラーメン</t>
  </si>
  <si>
    <t>ラーメンの中では油が少ない</t>
  </si>
  <si>
    <t>チャーシューメン</t>
  </si>
  <si>
    <t>チャーシューでたんぱく質が摂れる</t>
  </si>
  <si>
    <t>タンメン</t>
  </si>
  <si>
    <t>野菜が十分に摂れる</t>
  </si>
  <si>
    <t>焼きそば</t>
  </si>
  <si>
    <t>油で炒めるので高カロリー</t>
  </si>
  <si>
    <t>五目そば</t>
  </si>
  <si>
    <t>たんぱく質・野菜が豊富</t>
  </si>
  <si>
    <t>冷やし中華</t>
  </si>
  <si>
    <t>卵やハムでたんぱく質が摂れる</t>
  </si>
  <si>
    <t>焼きビーフン</t>
  </si>
  <si>
    <t>炭水化物が多い</t>
  </si>
  <si>
    <t>スパゲティ（ミートソース）</t>
  </si>
  <si>
    <t>ひき肉や粉チーズが高カロリー</t>
  </si>
  <si>
    <t>スパゲティ（トマトソース）</t>
  </si>
  <si>
    <t>トマトでビタミン類が豊富</t>
  </si>
  <si>
    <t>スパゲティ（カルボナーラ）</t>
  </si>
  <si>
    <t>生クリーム・ベーコンなど高脂肪</t>
  </si>
  <si>
    <t>スパゲティ（ナポリタン）</t>
  </si>
  <si>
    <t>脂質が高め</t>
  </si>
  <si>
    <t>きのこスパゲティ</t>
  </si>
  <si>
    <t>きのこは油をたくさん吸う</t>
  </si>
  <si>
    <t>明太子スパゲティ</t>
  </si>
  <si>
    <t>塩分が少し高め</t>
  </si>
  <si>
    <t>シーフードグラタン</t>
  </si>
  <si>
    <t>シーフードによりたんぱく質が豊富</t>
  </si>
  <si>
    <t>ラザニア</t>
  </si>
  <si>
    <t>ホワイトソース・チーズが高カロリー</t>
  </si>
  <si>
    <t>食パン １枚</t>
  </si>
  <si>
    <t>バターやジャムを塗ると＋80kcal</t>
  </si>
  <si>
    <t>食パン 6枚切1枚</t>
  </si>
  <si>
    <t>ジャムトースト</t>
  </si>
  <si>
    <t>糖分の摂りすぎに注意</t>
  </si>
  <si>
    <t>バタートースト</t>
  </si>
  <si>
    <t>バターの摂りすぎに注意</t>
  </si>
  <si>
    <t>ピザトースト</t>
  </si>
  <si>
    <t>チーズでカルシウム・たんぱく質</t>
  </si>
  <si>
    <t>フレンチトースト</t>
  </si>
  <si>
    <t>あんパン</t>
  </si>
  <si>
    <t>砂糖の量が少し多い</t>
  </si>
  <si>
    <t>クリームパン</t>
  </si>
  <si>
    <t>あんパンと比べると高脂肪</t>
  </si>
  <si>
    <t>カレーパン</t>
  </si>
  <si>
    <t>油で揚げているのて高脂肪</t>
  </si>
  <si>
    <t>肉まん １個</t>
  </si>
  <si>
    <t>カロリーはおにぎり１．５個分</t>
  </si>
  <si>
    <t>あんまん １個</t>
  </si>
  <si>
    <t>間食には少しカロリーが高い</t>
  </si>
  <si>
    <t>野菜サンド</t>
  </si>
  <si>
    <t>マヨネーズにカロリー・脂肪が多い</t>
  </si>
  <si>
    <t>たまごサンド</t>
  </si>
  <si>
    <t>ハンバーガー</t>
  </si>
  <si>
    <t>バーガー類では低カロリー</t>
  </si>
  <si>
    <t>チーズバーガー</t>
  </si>
  <si>
    <t>チーズでカルシウムが摂れる</t>
  </si>
  <si>
    <t>てりやきバーガー</t>
  </si>
  <si>
    <t>マヨネーズが多く高カロリー</t>
  </si>
  <si>
    <t>フィッシュバーガー</t>
  </si>
  <si>
    <t>タルタルソースが高カロリー</t>
  </si>
  <si>
    <t>ピザ 直径18cm</t>
  </si>
  <si>
    <t>シーフードなら低カロリー</t>
  </si>
  <si>
    <t>お好み焼き</t>
  </si>
  <si>
    <t>マヨネーズ・ソースなど控えめに</t>
  </si>
  <si>
    <t>ホットケーキ</t>
  </si>
  <si>
    <t>バター・メイプルシロップなど控えめに</t>
  </si>
  <si>
    <t>焼肉（ロース１皿）</t>
  </si>
  <si>
    <t>カルビより低カロリー</t>
  </si>
  <si>
    <t>焼肉（カルビ１皿）</t>
  </si>
  <si>
    <t>脂肪分が多い</t>
  </si>
  <si>
    <t>焼肉（タン１皿）</t>
  </si>
  <si>
    <t>焼肉（レバー１皿）</t>
  </si>
  <si>
    <t>たんぱく質や鉄分が豊富</t>
  </si>
  <si>
    <t>ユッケ</t>
  </si>
  <si>
    <t>ローストビーフ ３枚</t>
  </si>
  <si>
    <t>鉄分が摂れる</t>
  </si>
  <si>
    <t>ビーフシチュー</t>
  </si>
  <si>
    <t>高脂肪のものと組み合わせない</t>
  </si>
  <si>
    <t>ステーキ（モモ150ｇ）</t>
  </si>
  <si>
    <t>モモ肉は低カロリー</t>
  </si>
  <si>
    <t>ステーキ（ｻｰﾛｲﾝ150ｇ）</t>
  </si>
  <si>
    <t>半分ちかくが脂身で高カロリー</t>
  </si>
  <si>
    <t>生姜焼き（もも肉）</t>
  </si>
  <si>
    <t>ロース肉だと脂肪が２倍</t>
  </si>
  <si>
    <t>酢豚</t>
  </si>
  <si>
    <t>あんのカロリーが高い</t>
  </si>
  <si>
    <t>ニラレバ炒め</t>
  </si>
  <si>
    <t>鉄分が豊富</t>
  </si>
  <si>
    <t>肉野菜炒め</t>
  </si>
  <si>
    <t>豚の角煮</t>
  </si>
  <si>
    <t>脂肪がとても多い</t>
  </si>
  <si>
    <t>肉じゃが</t>
  </si>
  <si>
    <t>バラ肉・ロース肉は高カロリー</t>
  </si>
  <si>
    <t>焼き餃子 ５個</t>
  </si>
  <si>
    <t>水餃子だと低カロリー</t>
  </si>
  <si>
    <t>肉シュウマイ ５個</t>
  </si>
  <si>
    <t>餃子より肉が多く高脂肪</t>
  </si>
  <si>
    <t>春巻 １本（10cm）</t>
  </si>
  <si>
    <t>皮のカロリーが高い</t>
  </si>
  <si>
    <t>ソーセージ １本（5cm）</t>
  </si>
  <si>
    <t>魚肉ソーセージのほうが低カロリー</t>
  </si>
  <si>
    <t>フランクフルト １本（15cm）</t>
  </si>
  <si>
    <t>高脂肪・高カロリー</t>
  </si>
  <si>
    <t>イカのバター焼き</t>
  </si>
  <si>
    <t>ほとんどがバターのカロリー</t>
  </si>
  <si>
    <t>イカと大根の煮物</t>
  </si>
  <si>
    <t>たんぱく質が少し足りない</t>
  </si>
  <si>
    <t>八宝菜</t>
  </si>
  <si>
    <t>バランスが良い</t>
  </si>
  <si>
    <t>えびチリソース</t>
  </si>
  <si>
    <t>あんに油が多く含まれる</t>
  </si>
  <si>
    <t>麻婆ナス</t>
  </si>
  <si>
    <t>ナスは油を吸いやすい</t>
  </si>
  <si>
    <t>焼き鳥（ムネ１本）</t>
  </si>
  <si>
    <t>ややカロリーが高い</t>
  </si>
  <si>
    <t>焼き鳥（かわ１本）</t>
  </si>
  <si>
    <t>ほとんどが脂身で高カロリー</t>
  </si>
  <si>
    <t>焼き鳥（つくね１本）</t>
  </si>
  <si>
    <t>焼き鳥（レバー１本）</t>
  </si>
  <si>
    <t>レバーは鉄分豊富で低カロリー</t>
  </si>
  <si>
    <t>焼き鳥（ささみ１本）</t>
  </si>
  <si>
    <t>ささみは低脂肪・低カロリー</t>
  </si>
  <si>
    <t>ヒレカツ</t>
  </si>
  <si>
    <t>鶏の唐揚げ</t>
  </si>
  <si>
    <t>油で揚げるので高カロリー</t>
  </si>
  <si>
    <t>チキンカツ</t>
  </si>
  <si>
    <t>半分以上が衣のカロリー</t>
  </si>
  <si>
    <t>コロッケ</t>
  </si>
  <si>
    <t>カロリーの半分は衣</t>
  </si>
  <si>
    <t>えびフライ ４尾</t>
  </si>
  <si>
    <t>衣に油が多く含まれる</t>
  </si>
  <si>
    <t>かきフライ ４尾</t>
  </si>
  <si>
    <t>白身魚のフライ</t>
  </si>
  <si>
    <t>タルタルソースは 90kcal</t>
  </si>
  <si>
    <t>天ぷら １人分</t>
  </si>
  <si>
    <t>油の摂り過ぎに注意</t>
  </si>
  <si>
    <t>わかさぎの天ぷら ５尾</t>
  </si>
  <si>
    <t>鉄分・カルシウムが豊富</t>
  </si>
  <si>
    <t>しゃぶしゃぶ</t>
  </si>
  <si>
    <t>バランスよくすきやきより低カロリー</t>
  </si>
  <si>
    <t>すきやき</t>
  </si>
  <si>
    <t>バランスはよいが高カロリー</t>
  </si>
  <si>
    <t>おでん １人分</t>
  </si>
  <si>
    <t>練り製品は高カロリー</t>
  </si>
  <si>
    <t>ブイヤベース</t>
  </si>
  <si>
    <t>貝類で鉄分が摂れる</t>
  </si>
  <si>
    <t>寄せ鍋</t>
  </si>
  <si>
    <t>低カロリーでバランス良い</t>
  </si>
  <si>
    <t>かき鍋</t>
  </si>
  <si>
    <t>いわしの丸干し ３尾</t>
  </si>
  <si>
    <t>低脂肪でカルシウムが豊富</t>
  </si>
  <si>
    <t>あじの開き</t>
  </si>
  <si>
    <t>魚の脂肪はコレステロールを下げる</t>
  </si>
  <si>
    <t>さんまの塩焼き</t>
  </si>
  <si>
    <t>鉄分やカルシウムが摂れる</t>
  </si>
  <si>
    <t>ぶりの照り焼き</t>
  </si>
  <si>
    <t>脂肪が多い</t>
  </si>
  <si>
    <t>かじきの照り焼き</t>
  </si>
  <si>
    <t>たんぱく質が多く低カロリー</t>
  </si>
  <si>
    <t>銀だらの照り焼き</t>
  </si>
  <si>
    <t>青魚はカロリーが高い</t>
  </si>
  <si>
    <t>かれいの煮付け</t>
  </si>
  <si>
    <t>刺身 まぐろの赤身 ３切れ</t>
  </si>
  <si>
    <t>たんぱく質が豊富</t>
  </si>
  <si>
    <t>刺身 まぐろのトロ ３切れ</t>
  </si>
  <si>
    <t>高カロリー・高脂肪</t>
  </si>
  <si>
    <t>刺身 はまち ３切れ</t>
  </si>
  <si>
    <t>はまちは脂肪が多い</t>
  </si>
  <si>
    <t>刺身 まだい ３切れ</t>
  </si>
  <si>
    <t>刺身 いか ５切れ</t>
  </si>
  <si>
    <t>刺身 たこ ５切れ</t>
  </si>
  <si>
    <t>あじのたたき</t>
  </si>
  <si>
    <t>かつおのたたき</t>
  </si>
  <si>
    <t>たんぱく質・鉄分が豊富</t>
  </si>
  <si>
    <t>オムレツ</t>
  </si>
  <si>
    <t>バターや生クリームが高カロリー</t>
  </si>
  <si>
    <t>かに玉</t>
  </si>
  <si>
    <t>卵に油がたくさん含まれる</t>
  </si>
  <si>
    <t>目玉焼き</t>
  </si>
  <si>
    <t>油でゆでたまごより＋20kcal</t>
  </si>
  <si>
    <t>油の量を控えめに</t>
  </si>
  <si>
    <t>ハムエッグ</t>
  </si>
  <si>
    <t>ベーコンエッグ</t>
  </si>
  <si>
    <t>厚焼き玉子</t>
  </si>
  <si>
    <t>砂糖の量を控えめに</t>
  </si>
  <si>
    <t>冷や奴</t>
  </si>
  <si>
    <t>絹ごしより木綿の方が栄養価が高い</t>
  </si>
  <si>
    <t>揚げ出し豆腐</t>
  </si>
  <si>
    <t>たんぱく質とカルシウムが摂れる</t>
  </si>
  <si>
    <t>麻婆豆腐</t>
  </si>
  <si>
    <t>納豆</t>
  </si>
  <si>
    <t>食物繊維や鉄分が摂れる</t>
  </si>
  <si>
    <t>枝豆 20さや</t>
  </si>
  <si>
    <t>食物繊維やたんぱく質が豊富</t>
  </si>
  <si>
    <t>ポークビーンズ</t>
  </si>
  <si>
    <t>おかずより主食に含まれるかも</t>
  </si>
  <si>
    <t>キャベツの千切り</t>
  </si>
  <si>
    <t>ビタミンＣが摂れる</t>
  </si>
  <si>
    <t>きゅうりの塩もみ</t>
  </si>
  <si>
    <t>塩分を控えめに</t>
  </si>
  <si>
    <t>レタスサラダ</t>
  </si>
  <si>
    <t>カロリーの半分はドレッシング</t>
  </si>
  <si>
    <t>大根サラダ</t>
  </si>
  <si>
    <t>コーンサラダ</t>
  </si>
  <si>
    <t>ドレッシングを少なめに</t>
  </si>
  <si>
    <t>和風サラダ</t>
  </si>
  <si>
    <t>中華サラダ</t>
  </si>
  <si>
    <t>温野菜のサラダ</t>
  </si>
  <si>
    <t>生野菜より多く摂れる</t>
  </si>
  <si>
    <t>シーザーサラダ</t>
  </si>
  <si>
    <t>チーズでたんぱく質が摂れる</t>
  </si>
  <si>
    <t>ツナサラダ</t>
  </si>
  <si>
    <t>ツナでたんぱく質が摂れる</t>
  </si>
  <si>
    <t>ポテトサラダ</t>
  </si>
  <si>
    <t>マヨネーズが高カロリー</t>
  </si>
  <si>
    <t>マカロニサラダ</t>
  </si>
  <si>
    <t>炭水化物がかなり多い</t>
  </si>
  <si>
    <t>小松菜のお浸し</t>
  </si>
  <si>
    <t>鉄分やビタミン類が豊富</t>
  </si>
  <si>
    <t>ほうれん草のお浸し</t>
  </si>
  <si>
    <t>モロヘイヤのお浸し</t>
  </si>
  <si>
    <t>食物繊維が豊富</t>
  </si>
  <si>
    <t>小松菜のゴマ和え</t>
  </si>
  <si>
    <t>いんげんのゴマ和え</t>
  </si>
  <si>
    <t>カルシウムが摂れる</t>
  </si>
  <si>
    <t>ほうれん草の白和え</t>
  </si>
  <si>
    <t>豆腐でたんぱく質が摂れる</t>
  </si>
  <si>
    <t>焼きナス</t>
  </si>
  <si>
    <t>しょう油など控えめに</t>
  </si>
  <si>
    <t>大根の煮物</t>
  </si>
  <si>
    <t>食物繊維が摂れる</t>
  </si>
  <si>
    <t>タケノコの煮物</t>
  </si>
  <si>
    <t>カボチャの煮物</t>
  </si>
  <si>
    <t>食物繊維が摂れるが糖質が多い</t>
  </si>
  <si>
    <t>里芋の煮ころがし</t>
  </si>
  <si>
    <t>ほうれん草のソテー</t>
  </si>
  <si>
    <t>バターで脂質が多い</t>
  </si>
  <si>
    <t>青梗菜のソテー</t>
  </si>
  <si>
    <t>きんぴらごぼう</t>
  </si>
  <si>
    <t>サツマイモの天ぷら</t>
  </si>
  <si>
    <t>脂質・糖質が多い</t>
  </si>
  <si>
    <t>タマネギのかき揚げ</t>
  </si>
  <si>
    <t>白菜の塩漬</t>
  </si>
  <si>
    <t>野沢菜</t>
  </si>
  <si>
    <t>きゅうりのぬか漬</t>
  </si>
  <si>
    <t>キムチ</t>
  </si>
  <si>
    <t>たくあん</t>
  </si>
  <si>
    <t>らっきょうの甘酢漬</t>
  </si>
  <si>
    <t>なら漬</t>
  </si>
  <si>
    <t>わかめ・きゅうりの酢の物</t>
  </si>
  <si>
    <t>わかめにビタミン・ミネラル</t>
  </si>
  <si>
    <t>メカブの酢の物</t>
  </si>
  <si>
    <t>めかぶにビタミン・ミネラル</t>
  </si>
  <si>
    <t>ひじきの煮物</t>
  </si>
  <si>
    <t>鉄分やカルシウムが豊富</t>
  </si>
  <si>
    <t>昆布の煮物</t>
  </si>
  <si>
    <t>昆布にビタミン・ミネラル</t>
  </si>
  <si>
    <t>昆布巻き</t>
  </si>
  <si>
    <t>しいたけの網焼き</t>
  </si>
  <si>
    <t>キノコは低カロリー</t>
  </si>
  <si>
    <t>しいたけの天ぷら</t>
  </si>
  <si>
    <t>キノコは油を吸いやすい</t>
  </si>
  <si>
    <t>きのこのホイル焼き</t>
  </si>
  <si>
    <t>バターを使うが揚げるより低カロリー</t>
  </si>
  <si>
    <t>わかめの味噌汁</t>
  </si>
  <si>
    <t>食物繊維やミネラルが摂れる</t>
  </si>
  <si>
    <t>あさりの味噌汁</t>
  </si>
  <si>
    <t>豆腐の味噌汁</t>
  </si>
  <si>
    <t>油揚げの味噌汁</t>
  </si>
  <si>
    <t>なめこ汁</t>
  </si>
  <si>
    <t>たまねぎの味噌汁</t>
  </si>
  <si>
    <t>野菜の中では炭水化物が多い</t>
  </si>
  <si>
    <t>じゃがいもの味噌汁</t>
  </si>
  <si>
    <t>かきたま汁</t>
  </si>
  <si>
    <t>けんちん汁</t>
  </si>
  <si>
    <t>豚汁</t>
  </si>
  <si>
    <t>野菜が十分摂れる</t>
  </si>
  <si>
    <t>コンソメスープ</t>
  </si>
  <si>
    <t>わかめスープ</t>
  </si>
  <si>
    <t>卵スープ</t>
  </si>
  <si>
    <t>オニオンスープ</t>
  </si>
  <si>
    <t>玉ねぎがＧＩ値を抑えてくれる</t>
  </si>
  <si>
    <t>トムヤムクン</t>
  </si>
  <si>
    <t>パンプキンスープ</t>
  </si>
  <si>
    <t>かぼちゃは炭水化物が多い</t>
  </si>
  <si>
    <t>コーンポタージュ</t>
  </si>
  <si>
    <t>コーンはＧＩ値が高め</t>
  </si>
  <si>
    <t>ミネストローネ</t>
  </si>
  <si>
    <t>野菜がたくさん摂れる</t>
  </si>
  <si>
    <t>クラムチャウダー</t>
  </si>
  <si>
    <t>油脂を控えればバランス良い</t>
  </si>
  <si>
    <t>牛乳 200ml</t>
  </si>
  <si>
    <t>たんぱく質やカルシウムが摂れる</t>
  </si>
  <si>
    <t>低脂肪乳 200ml</t>
  </si>
  <si>
    <t>普通の牛乳より脂肪が1/2</t>
  </si>
  <si>
    <t>豆乳 200ml</t>
  </si>
  <si>
    <t>大豆たんぱくが摂れる</t>
  </si>
  <si>
    <t>ヨーグルト</t>
  </si>
  <si>
    <t>砂糖を控えめにする</t>
  </si>
  <si>
    <t>６Ｐチーズ １個</t>
  </si>
  <si>
    <t>脂質が多いので食べ過ぎない</t>
  </si>
  <si>
    <t>バター 10g</t>
  </si>
  <si>
    <t>コーヒー</t>
  </si>
  <si>
    <t>オレンジジュース</t>
  </si>
  <si>
    <t>クリームソーダ</t>
  </si>
  <si>
    <t>ミルクティー</t>
  </si>
  <si>
    <t>ミルクココア</t>
  </si>
  <si>
    <t>カフェ・オレ</t>
  </si>
  <si>
    <t>ビール（中ジョッキ）</t>
  </si>
  <si>
    <t>ワイン（グラス）</t>
  </si>
  <si>
    <t>日本酒（一合）</t>
  </si>
  <si>
    <t>焼酎（ロック　グラス）</t>
  </si>
  <si>
    <t>グレープフルーツサワー（ジョッキ）</t>
  </si>
  <si>
    <t>ウーロンハイ（ジョッキ）</t>
  </si>
  <si>
    <t>アイスクリーム</t>
  </si>
  <si>
    <t>プリンアラモード</t>
  </si>
  <si>
    <t>杏仁豆腐</t>
  </si>
  <si>
    <t>コーヒーゼリー</t>
  </si>
  <si>
    <t>かぼちゃのタルト</t>
  </si>
  <si>
    <t>レアチーズケーキ</t>
  </si>
  <si>
    <t>シュークリーム</t>
  </si>
  <si>
    <t>チーズケーキ</t>
  </si>
  <si>
    <t>ショートケーキ</t>
  </si>
  <si>
    <t>ミルフィーユ</t>
  </si>
  <si>
    <t>ベリータルト</t>
  </si>
  <si>
    <t>チョコレートケーキ</t>
  </si>
  <si>
    <t>あんみつ</t>
  </si>
  <si>
    <t>みつ豆</t>
  </si>
  <si>
    <t>クリームみつ豆</t>
  </si>
  <si>
    <t>クリームあんみつ</t>
  </si>
  <si>
    <t>白玉あんみつ</t>
  </si>
  <si>
    <t>抹茶クリーム白玉ぜんざい</t>
  </si>
  <si>
    <t>たいやき</t>
  </si>
  <si>
    <t>どらやき</t>
  </si>
  <si>
    <t>今川焼（カスタード）</t>
  </si>
  <si>
    <t>ところてん</t>
  </si>
  <si>
    <t>くずもち</t>
  </si>
  <si>
    <t>みたらし団子</t>
  </si>
  <si>
    <t>こしあんだ団子</t>
  </si>
  <si>
    <t>カステラ（一切）</t>
  </si>
  <si>
    <t>一日の摂取カロリー</t>
    <rPh sb="0" eb="2">
      <t>イチニチ</t>
    </rPh>
    <rPh sb="3" eb="5">
      <t>セッシュ</t>
    </rPh>
    <phoneticPr fontId="1"/>
  </si>
  <si>
    <t>朝</t>
    <rPh sb="0" eb="1">
      <t>アサ</t>
    </rPh>
    <phoneticPr fontId="1"/>
  </si>
  <si>
    <t>昼</t>
    <rPh sb="0" eb="1">
      <t>ヒル</t>
    </rPh>
    <phoneticPr fontId="1"/>
  </si>
  <si>
    <t>夜</t>
    <rPh sb="0" eb="1">
      <t>ヨル</t>
    </rPh>
    <phoneticPr fontId="1"/>
  </si>
  <si>
    <t>その他</t>
    <rPh sb="2" eb="3">
      <t>ホカ</t>
    </rPh>
    <phoneticPr fontId="1"/>
  </si>
  <si>
    <t>主食</t>
    <rPh sb="0" eb="2">
      <t>シュショク</t>
    </rPh>
    <phoneticPr fontId="1"/>
  </si>
  <si>
    <t>主菜</t>
    <rPh sb="0" eb="2">
      <t>シュサイ</t>
    </rPh>
    <phoneticPr fontId="1"/>
  </si>
  <si>
    <t>副菜</t>
    <rPh sb="0" eb="2">
      <t>フクサイ</t>
    </rPh>
    <phoneticPr fontId="1"/>
  </si>
  <si>
    <t>汁もの</t>
    <rPh sb="0" eb="1">
      <t>シル</t>
    </rPh>
    <phoneticPr fontId="1"/>
  </si>
  <si>
    <t>なし</t>
  </si>
  <si>
    <t>なし</t>
    <phoneticPr fontId="1"/>
  </si>
  <si>
    <t>合計：</t>
    <rPh sb="0" eb="2">
      <t>ゴウケイ</t>
    </rPh>
    <phoneticPr fontId="1"/>
  </si>
  <si>
    <t>kcal</t>
    <phoneticPr fontId="1"/>
  </si>
  <si>
    <t>デザート/飲み物</t>
    <rPh sb="5" eb="6">
      <t>ノ</t>
    </rPh>
    <rPh sb="7" eb="8">
      <t>モノ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</si>
</sst>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ＭＳ ゴシック"/>
      <family val="2"/>
      <charset val="128"/>
      <scheme val="minor"/>
    </font>
    <font>
      <sz val="6"/>
      <name val="ＭＳ ゴシック"/>
      <family val="2"/>
      <charset val="128"/>
      <scheme val="minor"/>
    </font>
    <font>
      <sz val="11"/>
      <name val="ＭＳ ゴシック"/>
      <family val="2"/>
      <charset val="128"/>
      <scheme val="minor"/>
    </font>
    <font>
      <sz val="11"/>
      <name val="ＭＳ ゴシック"/>
      <family val="3"/>
      <charset val="128"/>
      <scheme val="minor"/>
    </font>
    <font>
      <sz val="22"/>
      <color theme="1"/>
      <name val="ＭＳ ゴシック"/>
      <family val="2"/>
      <charset val="128"/>
      <scheme val="minor"/>
    </font>
    <font>
      <sz val="22"/>
      <color theme="1"/>
      <name val="ＭＳ ゴシック"/>
      <family val="3"/>
      <charset val="128"/>
      <scheme val="minor"/>
    </font>
    <font>
      <sz val="11"/>
      <color rgb="FF000000"/>
      <name val="ＭＳ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C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99FF66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2" borderId="0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5" xfId="0" applyFill="1" applyBorder="1">
      <alignment vertical="center"/>
    </xf>
    <xf numFmtId="0" fontId="0" fillId="4" borderId="2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7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5" xfId="0" applyFill="1" applyBorder="1">
      <alignment vertical="center"/>
    </xf>
    <xf numFmtId="0" fontId="3" fillId="5" borderId="2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3" fillId="5" borderId="7" xfId="0" applyFont="1" applyFill="1" applyBorder="1">
      <alignment vertical="center"/>
    </xf>
    <xf numFmtId="0" fontId="3" fillId="5" borderId="3" xfId="0" applyFont="1" applyFill="1" applyBorder="1">
      <alignment vertical="center"/>
    </xf>
    <xf numFmtId="0" fontId="3" fillId="5" borderId="5" xfId="0" applyFont="1" applyFill="1" applyBorder="1">
      <alignment vertical="center"/>
    </xf>
    <xf numFmtId="0" fontId="0" fillId="6" borderId="2" xfId="0" applyFill="1" applyBorder="1">
      <alignment vertical="center"/>
    </xf>
    <xf numFmtId="0" fontId="0" fillId="6" borderId="1" xfId="0" applyFill="1" applyBorder="1">
      <alignment vertical="center"/>
    </xf>
    <xf numFmtId="0" fontId="0" fillId="6" borderId="7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5" xfId="0" applyFill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8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1" xfId="0" applyFill="1" applyBorder="1">
      <alignment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99FF66"/>
      <color rgb="FFCC99FF"/>
      <color rgb="FFFFFF99"/>
      <color rgb="FF99CC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552450</xdr:colOff>
          <xdr:row>6</xdr:row>
          <xdr:rowOff>133350</xdr:rowOff>
        </xdr:from>
        <xdr:to>
          <xdr:col>13</xdr:col>
          <xdr:colOff>333375</xdr:colOff>
          <xdr:row>9</xdr:row>
          <xdr:rowOff>76200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完了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View">
  <a:themeElements>
    <a:clrScheme name="View">
      <a:dk1>
        <a:srgbClr val="000000"/>
      </a:dk1>
      <a:lt1>
        <a:srgbClr val="FFFFFF"/>
      </a:lt1>
      <a:dk2>
        <a:srgbClr val="46464A"/>
      </a:dk2>
      <a:lt2>
        <a:srgbClr val="D6D3CC"/>
      </a:lt2>
      <a:accent1>
        <a:srgbClr val="6F6F74"/>
      </a:accent1>
      <a:accent2>
        <a:srgbClr val="92A9B9"/>
      </a:accent2>
      <a:accent3>
        <a:srgbClr val="A7B789"/>
      </a:accent3>
      <a:accent4>
        <a:srgbClr val="B9A489"/>
      </a:accent4>
      <a:accent5>
        <a:srgbClr val="8D6374"/>
      </a:accent5>
      <a:accent6>
        <a:srgbClr val="9B7362"/>
      </a:accent6>
      <a:hlink>
        <a:srgbClr val="67AABF"/>
      </a:hlink>
      <a:folHlink>
        <a:srgbClr val="ABAFA5"/>
      </a:folHlink>
    </a:clrScheme>
    <a:fontScheme name="View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ew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41"/>
  <sheetViews>
    <sheetView tabSelected="1" workbookViewId="0">
      <selection activeCell="D6" sqref="D6"/>
    </sheetView>
  </sheetViews>
  <sheetFormatPr defaultRowHeight="13.5" x14ac:dyDescent="0.15"/>
  <cols>
    <col min="2" max="2" width="14.25" customWidth="1"/>
    <col min="5" max="5" width="13" customWidth="1"/>
    <col min="6" max="6" width="8.875" customWidth="1"/>
    <col min="7" max="7" width="9.375" customWidth="1"/>
    <col min="11" max="11" width="6.25" customWidth="1"/>
  </cols>
  <sheetData>
    <row r="1" spans="1:14" ht="25.5" x14ac:dyDescent="0.15">
      <c r="A1" s="23" t="s">
        <v>429</v>
      </c>
      <c r="B1" s="24"/>
      <c r="H1" s="1"/>
    </row>
    <row r="2" spans="1:14" x14ac:dyDescent="0.15">
      <c r="A2" s="42" t="s">
        <v>430</v>
      </c>
      <c r="B2" s="42" t="s">
        <v>434</v>
      </c>
      <c r="C2" s="3" t="s">
        <v>123</v>
      </c>
      <c r="D2" s="4" t="s">
        <v>438</v>
      </c>
      <c r="E2" s="4" t="s">
        <v>438</v>
      </c>
      <c r="F2" s="5" t="s">
        <v>438</v>
      </c>
      <c r="G2" s="6"/>
      <c r="H2" s="1"/>
      <c r="J2" s="25" t="s">
        <v>430</v>
      </c>
      <c r="K2" s="26">
        <f>SUM(G3,G5,G7,G9,G11)</f>
        <v>868</v>
      </c>
      <c r="L2" s="26"/>
      <c r="M2" s="26"/>
      <c r="N2" s="27"/>
    </row>
    <row r="3" spans="1:14" x14ac:dyDescent="0.15">
      <c r="A3" s="44"/>
      <c r="B3" s="43"/>
      <c r="C3" s="3">
        <f>(VLOOKUP(C2,主食!$B$1:$C$84,2,FALSE))</f>
        <v>200</v>
      </c>
      <c r="D3" s="4">
        <f>(VLOOKUP(D2,主食!$B$1:$C$84,2,FALSE))</f>
        <v>0</v>
      </c>
      <c r="E3" s="4">
        <f>(VLOOKUP(E2,主食!$B$1:$C$84,2,FALSE))</f>
        <v>0</v>
      </c>
      <c r="F3" s="5">
        <f>(VLOOKUP(F2,主食!$B$1:$C$84,2,FALSE))</f>
        <v>0</v>
      </c>
      <c r="G3" s="7">
        <f>SUM(C3:F3)</f>
        <v>200</v>
      </c>
      <c r="H3" s="1"/>
      <c r="J3" s="28" t="s">
        <v>431</v>
      </c>
      <c r="K3" s="2">
        <f>SUM(G13,G15,G17,G19,G21)</f>
        <v>505</v>
      </c>
      <c r="L3" s="2"/>
      <c r="M3" s="2"/>
      <c r="N3" s="29"/>
    </row>
    <row r="4" spans="1:14" x14ac:dyDescent="0.15">
      <c r="A4" s="44"/>
      <c r="B4" s="42" t="s">
        <v>435</v>
      </c>
      <c r="C4" s="3" t="s">
        <v>155</v>
      </c>
      <c r="D4" s="4" t="s">
        <v>157</v>
      </c>
      <c r="E4" s="4" t="s">
        <v>438</v>
      </c>
      <c r="F4" s="5" t="s">
        <v>438</v>
      </c>
      <c r="G4" s="6"/>
      <c r="H4" s="1"/>
      <c r="J4" s="28" t="s">
        <v>432</v>
      </c>
      <c r="K4" s="2">
        <f>SUM(G23,G25,G27,G29,G31)</f>
        <v>717</v>
      </c>
      <c r="L4" s="2"/>
      <c r="M4" s="2"/>
      <c r="N4" s="29"/>
    </row>
    <row r="5" spans="1:14" x14ac:dyDescent="0.15">
      <c r="A5" s="44"/>
      <c r="B5" s="43"/>
      <c r="C5" s="3">
        <f>(VLOOKUP(C4,主菜!$B$1:$C$74,2,FALSE))</f>
        <v>280</v>
      </c>
      <c r="D5" s="4">
        <f>(VLOOKUP(D4,主菜!$B$1:$C$74,2,FALSE))</f>
        <v>320</v>
      </c>
      <c r="E5" s="4">
        <f>(VLOOKUP(E4,主菜!$B$1:$C$74,2,FALSE))</f>
        <v>0</v>
      </c>
      <c r="F5" s="5">
        <f>(VLOOKUP(F4,主菜!$B$1:$C$74,2,FALSE))</f>
        <v>0</v>
      </c>
      <c r="G5" s="7">
        <f>SUM(C5:F5)</f>
        <v>600</v>
      </c>
      <c r="H5" s="1"/>
      <c r="J5" s="30" t="s">
        <v>433</v>
      </c>
      <c r="K5" s="31">
        <f>SUM(G33,G35,G37,G39,G41)</f>
        <v>118</v>
      </c>
      <c r="L5" s="31" t="s">
        <v>440</v>
      </c>
      <c r="M5" s="31">
        <f>SUM(K2:K5)</f>
        <v>2208</v>
      </c>
      <c r="N5" s="32" t="s">
        <v>441</v>
      </c>
    </row>
    <row r="6" spans="1:14" x14ac:dyDescent="0.15">
      <c r="A6" s="44"/>
      <c r="B6" s="42" t="s">
        <v>436</v>
      </c>
      <c r="C6" s="3" t="s">
        <v>438</v>
      </c>
      <c r="D6" s="4" t="s">
        <v>438</v>
      </c>
      <c r="E6" s="4" t="s">
        <v>438</v>
      </c>
      <c r="F6" s="5" t="s">
        <v>438</v>
      </c>
      <c r="G6" s="6"/>
      <c r="H6" s="1"/>
    </row>
    <row r="7" spans="1:14" x14ac:dyDescent="0.15">
      <c r="A7" s="44"/>
      <c r="B7" s="43"/>
      <c r="C7" s="3">
        <f>VLOOKUP(C6,副菜!$B$1:$C$44,2,FALSE)</f>
        <v>0</v>
      </c>
      <c r="D7" s="4">
        <f>VLOOKUP(D6,副菜!$B$1:$C$44,2,FALSE)</f>
        <v>0</v>
      </c>
      <c r="E7" s="4">
        <f>VLOOKUP(E6,副菜!$B$1:$C$44,2,FALSE)</f>
        <v>0</v>
      </c>
      <c r="F7" s="5">
        <f>VLOOKUP(F6,副菜!$B$1:$C$44,2,FALSE)</f>
        <v>0</v>
      </c>
      <c r="G7" s="7">
        <f>SUM(C7:F7)</f>
        <v>0</v>
      </c>
      <c r="H7" s="1"/>
    </row>
    <row r="8" spans="1:14" x14ac:dyDescent="0.15">
      <c r="A8" s="44"/>
      <c r="B8" s="42" t="s">
        <v>437</v>
      </c>
      <c r="C8" s="3" t="s">
        <v>438</v>
      </c>
      <c r="D8" s="4" t="s">
        <v>438</v>
      </c>
      <c r="E8" s="4" t="s">
        <v>438</v>
      </c>
      <c r="F8" s="5" t="s">
        <v>438</v>
      </c>
      <c r="G8" s="6"/>
      <c r="H8" s="1"/>
    </row>
    <row r="9" spans="1:14" x14ac:dyDescent="0.15">
      <c r="A9" s="44"/>
      <c r="B9" s="43"/>
      <c r="C9" s="3">
        <f>VLOOKUP(C8,汁もの!$B$1:$C$26,2,FALSE)</f>
        <v>0</v>
      </c>
      <c r="D9" s="4">
        <f>VLOOKUP(D8,汁もの!$B$1:$C$26,2,FALSE)</f>
        <v>0</v>
      </c>
      <c r="E9" s="4">
        <f>VLOOKUP(E8,汁もの!$B$1:$C$26,2,FALSE)</f>
        <v>0</v>
      </c>
      <c r="F9" s="5">
        <f>VLOOKUP(F8,汁もの!$B$1:$C$26,2,FALSE)</f>
        <v>0</v>
      </c>
      <c r="G9" s="7">
        <f>SUM(C9:F9)</f>
        <v>0</v>
      </c>
      <c r="H9" s="1"/>
    </row>
    <row r="10" spans="1:14" x14ac:dyDescent="0.15">
      <c r="A10" s="44"/>
      <c r="B10" s="42" t="s">
        <v>442</v>
      </c>
      <c r="C10" s="3" t="s">
        <v>438</v>
      </c>
      <c r="D10" s="4" t="s">
        <v>394</v>
      </c>
      <c r="E10" s="4" t="s">
        <v>438</v>
      </c>
      <c r="F10" s="5" t="s">
        <v>438</v>
      </c>
      <c r="G10" s="6"/>
      <c r="H10" s="1"/>
    </row>
    <row r="11" spans="1:14" x14ac:dyDescent="0.15">
      <c r="A11" s="43"/>
      <c r="B11" s="43"/>
      <c r="C11" s="3">
        <f>VLOOKUP(C10,デザート・飲み物!$A$1:$B$39,2,FALSE)</f>
        <v>0</v>
      </c>
      <c r="D11" s="4">
        <f>VLOOKUP(D10,デザート・飲み物!$A$1:$B$39,2,FALSE)</f>
        <v>68</v>
      </c>
      <c r="E11" s="4">
        <f>VLOOKUP(E10,デザート・飲み物!$A$1:$B$39,2,FALSE)</f>
        <v>0</v>
      </c>
      <c r="F11" s="4">
        <f>VLOOKUP(F10,デザート・飲み物!$A$1:$B$39,2,FALSE)</f>
        <v>0</v>
      </c>
      <c r="G11" s="7">
        <f>SUM(C11:F11)</f>
        <v>68</v>
      </c>
      <c r="H11" s="1"/>
    </row>
    <row r="12" spans="1:14" x14ac:dyDescent="0.15">
      <c r="A12" s="39" t="s">
        <v>431</v>
      </c>
      <c r="B12" s="39" t="s">
        <v>434</v>
      </c>
      <c r="C12" s="8" t="s">
        <v>0</v>
      </c>
      <c r="D12" s="9" t="s">
        <v>438</v>
      </c>
      <c r="E12" s="9" t="s">
        <v>438</v>
      </c>
      <c r="F12" s="10" t="s">
        <v>438</v>
      </c>
      <c r="G12" s="11"/>
      <c r="H12" s="1"/>
    </row>
    <row r="13" spans="1:14" x14ac:dyDescent="0.15">
      <c r="A13" s="40"/>
      <c r="B13" s="41"/>
      <c r="C13" s="8">
        <f>(VLOOKUP(C12,主食!$B$1:$C$84,2,FALSE))</f>
        <v>220</v>
      </c>
      <c r="D13" s="9">
        <f>(VLOOKUP(D12,主食!$B$1:$C$84,2,FALSE))</f>
        <v>0</v>
      </c>
      <c r="E13" s="9">
        <f>(VLOOKUP(E12,主食!$B$1:$C$84,2,FALSE))</f>
        <v>0</v>
      </c>
      <c r="F13" s="10">
        <f>(VLOOKUP(F12,主食!$B$1:$C$84,2,FALSE))</f>
        <v>0</v>
      </c>
      <c r="G13" s="12">
        <f>SUM(C13:F13)</f>
        <v>220</v>
      </c>
      <c r="H13" s="1"/>
    </row>
    <row r="14" spans="1:14" x14ac:dyDescent="0.15">
      <c r="A14" s="40"/>
      <c r="B14" s="39" t="s">
        <v>435</v>
      </c>
      <c r="C14" s="8" t="s">
        <v>202</v>
      </c>
      <c r="D14" s="9" t="s">
        <v>194</v>
      </c>
      <c r="E14" s="9" t="s">
        <v>438</v>
      </c>
      <c r="F14" s="10" t="s">
        <v>438</v>
      </c>
      <c r="G14" s="11"/>
      <c r="H14" s="1"/>
    </row>
    <row r="15" spans="1:14" x14ac:dyDescent="0.15">
      <c r="A15" s="40"/>
      <c r="B15" s="41"/>
      <c r="C15" s="8">
        <f>(VLOOKUP(C14,主菜!$B$1:$C$74,2,FALSE))</f>
        <v>70</v>
      </c>
      <c r="D15" s="9">
        <f>(VLOOKUP(D14,主菜!$B$1:$C$74,2,FALSE))</f>
        <v>190</v>
      </c>
      <c r="E15" s="9">
        <f>(VLOOKUP(E14,主菜!$B$1:$C$74,2,FALSE))</f>
        <v>0</v>
      </c>
      <c r="F15" s="10">
        <f>(VLOOKUP(F14,主菜!$B$1:$C$74,2,FALSE))</f>
        <v>0</v>
      </c>
      <c r="G15" s="12">
        <f>SUM(C15:F15)</f>
        <v>260</v>
      </c>
      <c r="H15" s="1"/>
    </row>
    <row r="16" spans="1:14" x14ac:dyDescent="0.15">
      <c r="A16" s="40"/>
      <c r="B16" s="39" t="s">
        <v>436</v>
      </c>
      <c r="C16" s="8" t="s">
        <v>308</v>
      </c>
      <c r="D16" s="9" t="s">
        <v>438</v>
      </c>
      <c r="E16" s="9" t="s">
        <v>438</v>
      </c>
      <c r="F16" s="10" t="s">
        <v>438</v>
      </c>
      <c r="G16" s="11"/>
      <c r="H16" s="1"/>
    </row>
    <row r="17" spans="1:8" x14ac:dyDescent="0.15">
      <c r="A17" s="40"/>
      <c r="B17" s="41"/>
      <c r="C17" s="8">
        <f>VLOOKUP(C16,副菜!$B$1:$C$44,2,FALSE)</f>
        <v>25</v>
      </c>
      <c r="D17" s="9">
        <f>VLOOKUP(D16,副菜!$B$1:$C$44,2,FALSE)</f>
        <v>0</v>
      </c>
      <c r="E17" s="9">
        <f>VLOOKUP(E16,副菜!$B$1:$C$44,2,FALSE)</f>
        <v>0</v>
      </c>
      <c r="F17" s="10">
        <f>VLOOKUP(F16,副菜!$B$1:$C$44,2,FALSE)</f>
        <v>0</v>
      </c>
      <c r="G17" s="12">
        <f>SUM(C17:F17)</f>
        <v>25</v>
      </c>
      <c r="H17" s="1"/>
    </row>
    <row r="18" spans="1:8" x14ac:dyDescent="0.15">
      <c r="A18" s="40"/>
      <c r="B18" s="39" t="s">
        <v>437</v>
      </c>
      <c r="C18" s="8" t="s">
        <v>438</v>
      </c>
      <c r="D18" s="9" t="s">
        <v>438</v>
      </c>
      <c r="E18" s="9" t="s">
        <v>438</v>
      </c>
      <c r="F18" s="10" t="s">
        <v>438</v>
      </c>
      <c r="G18" s="11"/>
      <c r="H18" s="1"/>
    </row>
    <row r="19" spans="1:8" x14ac:dyDescent="0.15">
      <c r="A19" s="40"/>
      <c r="B19" s="41"/>
      <c r="C19" s="8">
        <f>VLOOKUP(C18,汁もの!$B$1:$C$26,2,FALSE)</f>
        <v>0</v>
      </c>
      <c r="D19" s="9">
        <f>VLOOKUP(D18,汁もの!$B$1:$C$26,2,FALSE)</f>
        <v>0</v>
      </c>
      <c r="E19" s="9">
        <f>VLOOKUP(E18,汁もの!$B$1:$C$26,2,FALSE)</f>
        <v>0</v>
      </c>
      <c r="F19" s="10">
        <f>VLOOKUP(F18,汁もの!$B$1:$C$26,2,FALSE)</f>
        <v>0</v>
      </c>
      <c r="G19" s="12">
        <f>SUM(C19:F19)</f>
        <v>0</v>
      </c>
      <c r="H19" s="1"/>
    </row>
    <row r="20" spans="1:8" x14ac:dyDescent="0.15">
      <c r="A20" s="40"/>
      <c r="B20" s="39" t="s">
        <v>442</v>
      </c>
      <c r="C20" s="8" t="s">
        <v>438</v>
      </c>
      <c r="D20" s="9" t="s">
        <v>438</v>
      </c>
      <c r="E20" s="9" t="s">
        <v>438</v>
      </c>
      <c r="F20" s="10" t="s">
        <v>438</v>
      </c>
      <c r="G20" s="11"/>
      <c r="H20" s="1"/>
    </row>
    <row r="21" spans="1:8" x14ac:dyDescent="0.15">
      <c r="A21" s="41"/>
      <c r="B21" s="41"/>
      <c r="C21" s="8">
        <f>VLOOKUP(C20,デザート・飲み物!$A$1:$B$39,2,FALSE)</f>
        <v>0</v>
      </c>
      <c r="D21" s="9">
        <f>VLOOKUP(D20,デザート・飲み物!$A$1:$B$39,2,FALSE)</f>
        <v>0</v>
      </c>
      <c r="E21" s="9">
        <f>VLOOKUP(E20,デザート・飲み物!$A$1:$B$39,2,FALSE)</f>
        <v>0</v>
      </c>
      <c r="F21" s="9">
        <f>VLOOKUP(F20,デザート・飲み物!$A$1:$B$39,2,FALSE)</f>
        <v>0</v>
      </c>
      <c r="G21" s="12">
        <f>SUM(C21:F21)</f>
        <v>0</v>
      </c>
      <c r="H21" s="1"/>
    </row>
    <row r="22" spans="1:8" x14ac:dyDescent="0.15">
      <c r="A22" s="36" t="s">
        <v>432</v>
      </c>
      <c r="B22" s="36" t="s">
        <v>434</v>
      </c>
      <c r="C22" s="13" t="s">
        <v>0</v>
      </c>
      <c r="D22" s="14" t="s">
        <v>438</v>
      </c>
      <c r="E22" s="14" t="s">
        <v>438</v>
      </c>
      <c r="F22" s="15" t="s">
        <v>438</v>
      </c>
      <c r="G22" s="16"/>
      <c r="H22" s="1"/>
    </row>
    <row r="23" spans="1:8" x14ac:dyDescent="0.15">
      <c r="A23" s="37"/>
      <c r="B23" s="38"/>
      <c r="C23" s="13">
        <f>(VLOOKUP(C22,主食!$B$1:$C$84,2,FALSE))</f>
        <v>220</v>
      </c>
      <c r="D23" s="14">
        <f>(VLOOKUP(D22,主食!$B$1:$C$84,2,FALSE))</f>
        <v>0</v>
      </c>
      <c r="E23" s="14">
        <f>(VLOOKUP(E22,主食!$B$1:$C$84,2,FALSE))</f>
        <v>0</v>
      </c>
      <c r="F23" s="15">
        <f>(VLOOKUP(F22,主食!$B$1:$C$84,2,FALSE))</f>
        <v>0</v>
      </c>
      <c r="G23" s="17">
        <f>SUM(C23:F23)</f>
        <v>220</v>
      </c>
      <c r="H23" s="1"/>
    </row>
    <row r="24" spans="1:8" x14ac:dyDescent="0.15">
      <c r="A24" s="37"/>
      <c r="B24" s="36" t="s">
        <v>435</v>
      </c>
      <c r="C24" s="13" t="s">
        <v>171</v>
      </c>
      <c r="D24" s="14" t="s">
        <v>438</v>
      </c>
      <c r="E24" s="14" t="s">
        <v>438</v>
      </c>
      <c r="F24" s="15" t="s">
        <v>438</v>
      </c>
      <c r="G24" s="16"/>
      <c r="H24" s="1"/>
    </row>
    <row r="25" spans="1:8" x14ac:dyDescent="0.15">
      <c r="A25" s="37"/>
      <c r="B25" s="38"/>
      <c r="C25" s="13">
        <f>(VLOOKUP(C24,主菜!$B$1:$C$74,2,FALSE))</f>
        <v>250</v>
      </c>
      <c r="D25" s="14">
        <f>(VLOOKUP(D24,主菜!$B$1:$C$74,2,FALSE))</f>
        <v>0</v>
      </c>
      <c r="E25" s="14">
        <f>(VLOOKUP(E24,主菜!$B$1:$C$74,2,FALSE))</f>
        <v>0</v>
      </c>
      <c r="F25" s="15">
        <f>(VLOOKUP(F24,主菜!$B$1:$C$74,2,FALSE))</f>
        <v>0</v>
      </c>
      <c r="G25" s="17">
        <f>SUM(C25:F25)</f>
        <v>250</v>
      </c>
      <c r="H25" s="1"/>
    </row>
    <row r="26" spans="1:8" x14ac:dyDescent="0.15">
      <c r="A26" s="37"/>
      <c r="B26" s="36" t="s">
        <v>436</v>
      </c>
      <c r="C26" s="13" t="s">
        <v>291</v>
      </c>
      <c r="D26" s="14" t="s">
        <v>438</v>
      </c>
      <c r="E26" s="14" t="s">
        <v>438</v>
      </c>
      <c r="F26" s="15" t="s">
        <v>438</v>
      </c>
      <c r="G26" s="16"/>
      <c r="H26" s="1"/>
    </row>
    <row r="27" spans="1:8" x14ac:dyDescent="0.15">
      <c r="A27" s="37"/>
      <c r="B27" s="38"/>
      <c r="C27" s="13">
        <f>VLOOKUP(C26,副菜!$B$1:$C$44,2,FALSE)</f>
        <v>75</v>
      </c>
      <c r="D27" s="14">
        <f>VLOOKUP(D26,副菜!$B$1:$C$44,2,FALSE)</f>
        <v>0</v>
      </c>
      <c r="E27" s="14">
        <f>VLOOKUP(E26,副菜!$B$1:$C$44,2,FALSE)</f>
        <v>0</v>
      </c>
      <c r="F27" s="15">
        <f>VLOOKUP(F26,副菜!$B$1:$C$44,2,FALSE)</f>
        <v>0</v>
      </c>
      <c r="G27" s="17">
        <f>SUM(C27:F27)</f>
        <v>75</v>
      </c>
      <c r="H27" s="1"/>
    </row>
    <row r="28" spans="1:8" x14ac:dyDescent="0.15">
      <c r="A28" s="37"/>
      <c r="B28" s="36" t="s">
        <v>437</v>
      </c>
      <c r="C28" s="13" t="s">
        <v>438</v>
      </c>
      <c r="D28" s="14" t="s">
        <v>353</v>
      </c>
      <c r="E28" s="14" t="s">
        <v>438</v>
      </c>
      <c r="F28" s="15" t="s">
        <v>438</v>
      </c>
      <c r="G28" s="16"/>
      <c r="H28" s="1"/>
    </row>
    <row r="29" spans="1:8" x14ac:dyDescent="0.15">
      <c r="A29" s="37"/>
      <c r="B29" s="38"/>
      <c r="C29" s="13">
        <f>VLOOKUP(C28,汁もの!$B$1:$C$26,2,FALSE)</f>
        <v>0</v>
      </c>
      <c r="D29" s="14">
        <f>VLOOKUP(D28,汁もの!$B$1:$C$26,2,FALSE)</f>
        <v>35</v>
      </c>
      <c r="E29" s="14">
        <f>VLOOKUP(E28,汁もの!$B$1:$C$26,2,FALSE)</f>
        <v>0</v>
      </c>
      <c r="F29" s="15">
        <f>VLOOKUP(F28,汁もの!$B$1:$C$26,2,FALSE)</f>
        <v>0</v>
      </c>
      <c r="G29" s="17">
        <f>SUM(C29:F29)</f>
        <v>35</v>
      </c>
      <c r="H29" s="1"/>
    </row>
    <row r="30" spans="1:8" x14ac:dyDescent="0.15">
      <c r="A30" s="37"/>
      <c r="B30" s="36" t="s">
        <v>442</v>
      </c>
      <c r="C30" s="13" t="s">
        <v>393</v>
      </c>
      <c r="D30" s="14" t="s">
        <v>438</v>
      </c>
      <c r="E30" s="14" t="s">
        <v>438</v>
      </c>
      <c r="F30" s="15" t="s">
        <v>438</v>
      </c>
      <c r="G30" s="16"/>
      <c r="H30" s="1"/>
    </row>
    <row r="31" spans="1:8" x14ac:dyDescent="0.15">
      <c r="A31" s="38"/>
      <c r="B31" s="38"/>
      <c r="C31" s="13">
        <f>VLOOKUP(C30,デザート・飲み物!$A$1:$B$39,2,FALSE)</f>
        <v>137</v>
      </c>
      <c r="D31" s="14">
        <f>VLOOKUP(D30,デザート・飲み物!$A$1:$B$39,2,FALSE)</f>
        <v>0</v>
      </c>
      <c r="E31" s="14">
        <f>VLOOKUP(E30,デザート・飲み物!$A$1:$B$39,2,FALSE)</f>
        <v>0</v>
      </c>
      <c r="F31" s="14">
        <f>VLOOKUP(F30,デザート・飲み物!$A$1:$B$39,2,FALSE)</f>
        <v>0</v>
      </c>
      <c r="G31" s="17">
        <f>SUM(C31:F31)</f>
        <v>137</v>
      </c>
      <c r="H31" s="1"/>
    </row>
    <row r="32" spans="1:8" x14ac:dyDescent="0.15">
      <c r="A32" s="33" t="s">
        <v>433</v>
      </c>
      <c r="B32" s="33" t="s">
        <v>434</v>
      </c>
      <c r="C32" s="18" t="s">
        <v>438</v>
      </c>
      <c r="D32" s="19" t="s">
        <v>438</v>
      </c>
      <c r="E32" s="19" t="s">
        <v>438</v>
      </c>
      <c r="F32" s="20" t="s">
        <v>438</v>
      </c>
      <c r="G32" s="21"/>
    </row>
    <row r="33" spans="1:7" x14ac:dyDescent="0.15">
      <c r="A33" s="34"/>
      <c r="B33" s="35"/>
      <c r="C33" s="18">
        <f>(VLOOKUP(C32,主食!$B$1:$C$84,2,FALSE))</f>
        <v>0</v>
      </c>
      <c r="D33" s="19">
        <f>(VLOOKUP(D32,主食!$B$1:$C$84,2,FALSE))</f>
        <v>0</v>
      </c>
      <c r="E33" s="19">
        <f>(VLOOKUP(E32,主食!$B$1:$C$84,2,FALSE))</f>
        <v>0</v>
      </c>
      <c r="F33" s="20">
        <f>(VLOOKUP(F32,主食!$B$1:$C$84,2,FALSE))</f>
        <v>0</v>
      </c>
      <c r="G33" s="22">
        <f>SUM(C33:F33)</f>
        <v>0</v>
      </c>
    </row>
    <row r="34" spans="1:7" x14ac:dyDescent="0.15">
      <c r="A34" s="34"/>
      <c r="B34" s="33" t="s">
        <v>435</v>
      </c>
      <c r="C34" s="18" t="s">
        <v>438</v>
      </c>
      <c r="D34" s="19" t="s">
        <v>438</v>
      </c>
      <c r="E34" s="19" t="s">
        <v>438</v>
      </c>
      <c r="F34" s="20" t="s">
        <v>438</v>
      </c>
      <c r="G34" s="21"/>
    </row>
    <row r="35" spans="1:7" x14ac:dyDescent="0.15">
      <c r="A35" s="34"/>
      <c r="B35" s="35"/>
      <c r="C35" s="18">
        <f>(VLOOKUP(C34,主菜!$B$1:$C$74,2,FALSE))</f>
        <v>0</v>
      </c>
      <c r="D35" s="19">
        <f>(VLOOKUP(D34,主菜!$B$1:$C$74,2,FALSE))</f>
        <v>0</v>
      </c>
      <c r="E35" s="19">
        <f>(VLOOKUP(E34,主菜!$B$1:$C$74,2,FALSE))</f>
        <v>0</v>
      </c>
      <c r="F35" s="20">
        <f>(VLOOKUP(F34,主菜!$B$1:$C$74,2,FALSE))</f>
        <v>0</v>
      </c>
      <c r="G35" s="22">
        <f>SUM(C35:F35)</f>
        <v>0</v>
      </c>
    </row>
    <row r="36" spans="1:7" x14ac:dyDescent="0.15">
      <c r="A36" s="34"/>
      <c r="B36" s="33" t="s">
        <v>436</v>
      </c>
      <c r="C36" s="18" t="s">
        <v>438</v>
      </c>
      <c r="D36" s="19" t="s">
        <v>438</v>
      </c>
      <c r="E36" s="19" t="s">
        <v>438</v>
      </c>
      <c r="F36" s="20" t="s">
        <v>438</v>
      </c>
      <c r="G36" s="21"/>
    </row>
    <row r="37" spans="1:7" x14ac:dyDescent="0.15">
      <c r="A37" s="34"/>
      <c r="B37" s="35"/>
      <c r="C37" s="18">
        <f>VLOOKUP(C36,副菜!$B$1:$C$44,2,FALSE)</f>
        <v>0</v>
      </c>
      <c r="D37" s="19">
        <f>VLOOKUP(D36,副菜!$B$1:$C$44,2,FALSE)</f>
        <v>0</v>
      </c>
      <c r="E37" s="19">
        <f>VLOOKUP(E36,副菜!$B$1:$C$44,2,FALSE)</f>
        <v>0</v>
      </c>
      <c r="F37" s="20">
        <f>VLOOKUP(F36,副菜!$B$1:$C$44,2,FALSE)</f>
        <v>0</v>
      </c>
      <c r="G37" s="22">
        <f>SUM(C37:F37)</f>
        <v>0</v>
      </c>
    </row>
    <row r="38" spans="1:7" x14ac:dyDescent="0.15">
      <c r="A38" s="34"/>
      <c r="B38" s="33" t="s">
        <v>437</v>
      </c>
      <c r="C38" s="18" t="s">
        <v>438</v>
      </c>
      <c r="D38" s="19" t="s">
        <v>438</v>
      </c>
      <c r="E38" s="19" t="s">
        <v>438</v>
      </c>
      <c r="F38" s="20" t="s">
        <v>438</v>
      </c>
      <c r="G38" s="21"/>
    </row>
    <row r="39" spans="1:7" x14ac:dyDescent="0.15">
      <c r="A39" s="34"/>
      <c r="B39" s="35"/>
      <c r="C39" s="18">
        <f>VLOOKUP(C38,汁もの!$B$1:$C$26,2,FALSE)</f>
        <v>0</v>
      </c>
      <c r="D39" s="19">
        <f>VLOOKUP(D38,汁もの!$B$1:$C$26,2,FALSE)</f>
        <v>0</v>
      </c>
      <c r="E39" s="19">
        <f>VLOOKUP(E38,汁もの!$B$1:$C$26,2,FALSE)</f>
        <v>0</v>
      </c>
      <c r="F39" s="20">
        <f>VLOOKUP(F38,汁もの!$B$1:$C$26,2,FALSE)</f>
        <v>0</v>
      </c>
      <c r="G39" s="22">
        <f>SUM(C39:F39)</f>
        <v>0</v>
      </c>
    </row>
    <row r="40" spans="1:7" x14ac:dyDescent="0.15">
      <c r="A40" s="34"/>
      <c r="B40" s="33" t="s">
        <v>442</v>
      </c>
      <c r="C40" s="18" t="s">
        <v>426</v>
      </c>
      <c r="D40" s="19" t="s">
        <v>438</v>
      </c>
      <c r="E40" s="19" t="s">
        <v>438</v>
      </c>
      <c r="F40" s="20" t="s">
        <v>438</v>
      </c>
      <c r="G40" s="21"/>
    </row>
    <row r="41" spans="1:7" x14ac:dyDescent="0.15">
      <c r="A41" s="35"/>
      <c r="B41" s="35"/>
      <c r="C41" s="18">
        <f>VLOOKUP(C40,デザート・飲み物!$A$1:$B$39,2,FALSE)</f>
        <v>118</v>
      </c>
      <c r="D41" s="19">
        <f>VLOOKUP(D40,デザート・飲み物!$A$1:$B$39,2,FALSE)</f>
        <v>0</v>
      </c>
      <c r="E41" s="19">
        <f>VLOOKUP(E40,デザート・飲み物!$A$1:$B$39,2,FALSE)</f>
        <v>0</v>
      </c>
      <c r="F41" s="19">
        <f>VLOOKUP(F40,デザート・飲み物!$A$1:$B$39,2,FALSE)</f>
        <v>0</v>
      </c>
      <c r="G41" s="22">
        <f>SUM(C41:F41)</f>
        <v>118</v>
      </c>
    </row>
  </sheetData>
  <mergeCells count="24">
    <mergeCell ref="B2:B3"/>
    <mergeCell ref="A2:A11"/>
    <mergeCell ref="B10:B11"/>
    <mergeCell ref="B8:B9"/>
    <mergeCell ref="B6:B7"/>
    <mergeCell ref="B4:B5"/>
    <mergeCell ref="A12:A21"/>
    <mergeCell ref="B12:B13"/>
    <mergeCell ref="B14:B15"/>
    <mergeCell ref="B16:B17"/>
    <mergeCell ref="B18:B19"/>
    <mergeCell ref="B20:B21"/>
    <mergeCell ref="A22:A31"/>
    <mergeCell ref="B22:B23"/>
    <mergeCell ref="B24:B25"/>
    <mergeCell ref="B26:B27"/>
    <mergeCell ref="B28:B29"/>
    <mergeCell ref="B30:B31"/>
    <mergeCell ref="A32:A41"/>
    <mergeCell ref="B32:B33"/>
    <mergeCell ref="B34:B35"/>
    <mergeCell ref="B36:B37"/>
    <mergeCell ref="B38:B39"/>
    <mergeCell ref="B40:B41"/>
  </mergeCells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mple3">
                <anchor moveWithCells="1">
                  <from>
                    <xdr:col>11</xdr:col>
                    <xdr:colOff>552450</xdr:colOff>
                    <xdr:row>6</xdr:row>
                    <xdr:rowOff>133350</xdr:rowOff>
                  </from>
                  <to>
                    <xdr:col>13</xdr:col>
                    <xdr:colOff>333375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主食!$B$1:$B$84</xm:f>
          </x14:formula1>
          <xm:sqref>C2:F2 C12:F12 C22:F22 C32:F32</xm:sqref>
        </x14:dataValidation>
        <x14:dataValidation type="list" allowBlank="1" showInputMessage="1" showErrorMessage="1">
          <x14:formula1>
            <xm:f>主菜!$B$1:$B$74</xm:f>
          </x14:formula1>
          <xm:sqref>C4:F4 C14:F14 C24:F24 C34:F34</xm:sqref>
        </x14:dataValidation>
        <x14:dataValidation type="list" allowBlank="1" showInputMessage="1" showErrorMessage="1">
          <x14:formula1>
            <xm:f>副菜!$B$1:$B$44</xm:f>
          </x14:formula1>
          <xm:sqref>C6:F6 C16:F16 C26:F26 C36:F36</xm:sqref>
        </x14:dataValidation>
        <x14:dataValidation type="list" allowBlank="1" showInputMessage="1" showErrorMessage="1">
          <x14:formula1>
            <xm:f>汁もの!$B$1:$B$26</xm:f>
          </x14:formula1>
          <xm:sqref>C8:F8 C18:F18 C28:F28 C38:F38</xm:sqref>
        </x14:dataValidation>
        <x14:dataValidation type="list" allowBlank="1" showInputMessage="1" showErrorMessage="1">
          <x14:formula1>
            <xm:f>デザート・飲み物!$A$1:$A$39</xm:f>
          </x14:formula1>
          <xm:sqref>C10:F10 C20:F20 C30:F30 C40:F40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84"/>
  <sheetViews>
    <sheetView workbookViewId="0">
      <selection activeCell="C1" sqref="C1"/>
    </sheetView>
  </sheetViews>
  <sheetFormatPr defaultRowHeight="13.5" x14ac:dyDescent="0.15"/>
  <cols>
    <col min="2" max="2" width="14.75" customWidth="1"/>
  </cols>
  <sheetData>
    <row r="1" spans="1:9" x14ac:dyDescent="0.15">
      <c r="B1" t="s">
        <v>439</v>
      </c>
      <c r="C1">
        <v>0</v>
      </c>
    </row>
    <row r="2" spans="1:9" x14ac:dyDescent="0.15">
      <c r="A2">
        <v>1</v>
      </c>
      <c r="B2" t="s">
        <v>0</v>
      </c>
      <c r="C2">
        <v>220</v>
      </c>
      <c r="D2" t="s">
        <v>1</v>
      </c>
      <c r="E2" t="s">
        <v>2</v>
      </c>
      <c r="F2" t="s">
        <v>2</v>
      </c>
      <c r="G2" t="s">
        <v>2</v>
      </c>
      <c r="H2" t="s">
        <v>3</v>
      </c>
      <c r="I2" t="s">
        <v>4</v>
      </c>
    </row>
    <row r="3" spans="1:9" x14ac:dyDescent="0.15">
      <c r="A3">
        <v>2</v>
      </c>
      <c r="B3" t="s">
        <v>5</v>
      </c>
      <c r="C3">
        <v>220</v>
      </c>
      <c r="D3" t="s">
        <v>1</v>
      </c>
      <c r="E3" t="s">
        <v>2</v>
      </c>
      <c r="F3" t="s">
        <v>2</v>
      </c>
      <c r="G3" t="s">
        <v>2</v>
      </c>
      <c r="H3" t="s">
        <v>3</v>
      </c>
      <c r="I3" t="s">
        <v>6</v>
      </c>
    </row>
    <row r="4" spans="1:9" x14ac:dyDescent="0.15">
      <c r="A4">
        <v>3</v>
      </c>
      <c r="B4" t="s">
        <v>7</v>
      </c>
      <c r="C4">
        <v>250</v>
      </c>
      <c r="D4" t="s">
        <v>1</v>
      </c>
      <c r="E4" t="s">
        <v>2</v>
      </c>
      <c r="F4" t="s">
        <v>2</v>
      </c>
      <c r="G4" t="s">
        <v>2</v>
      </c>
      <c r="H4" t="s">
        <v>3</v>
      </c>
      <c r="I4" t="s">
        <v>4</v>
      </c>
    </row>
    <row r="5" spans="1:9" x14ac:dyDescent="0.15">
      <c r="A5">
        <v>4</v>
      </c>
      <c r="B5" t="s">
        <v>8</v>
      </c>
      <c r="C5">
        <v>180</v>
      </c>
      <c r="D5" t="s">
        <v>1</v>
      </c>
      <c r="E5" t="s">
        <v>2</v>
      </c>
      <c r="F5" t="s">
        <v>2</v>
      </c>
      <c r="G5" t="s">
        <v>2</v>
      </c>
      <c r="H5" t="s">
        <v>3</v>
      </c>
      <c r="I5" t="s">
        <v>9</v>
      </c>
    </row>
    <row r="6" spans="1:9" x14ac:dyDescent="0.15">
      <c r="A6">
        <v>5</v>
      </c>
      <c r="B6" t="s">
        <v>10</v>
      </c>
      <c r="C6">
        <v>120</v>
      </c>
      <c r="D6" t="s">
        <v>1</v>
      </c>
      <c r="E6" t="s">
        <v>2</v>
      </c>
      <c r="F6" t="s">
        <v>2</v>
      </c>
      <c r="G6" t="s">
        <v>2</v>
      </c>
      <c r="H6" t="s">
        <v>3</v>
      </c>
      <c r="I6" t="s">
        <v>11</v>
      </c>
    </row>
    <row r="7" spans="1:9" x14ac:dyDescent="0.15">
      <c r="A7">
        <v>6</v>
      </c>
      <c r="B7" t="s">
        <v>12</v>
      </c>
      <c r="C7">
        <v>600</v>
      </c>
      <c r="D7" t="s">
        <v>1</v>
      </c>
      <c r="E7" t="s">
        <v>1</v>
      </c>
      <c r="F7" t="s">
        <v>2</v>
      </c>
      <c r="G7" t="s">
        <v>2</v>
      </c>
      <c r="H7">
        <v>12</v>
      </c>
      <c r="I7" t="s">
        <v>13</v>
      </c>
    </row>
    <row r="8" spans="1:9" x14ac:dyDescent="0.15">
      <c r="A8">
        <v>7</v>
      </c>
      <c r="B8" t="s">
        <v>14</v>
      </c>
      <c r="C8">
        <v>900</v>
      </c>
      <c r="D8" t="s">
        <v>1</v>
      </c>
      <c r="E8" t="s">
        <v>1</v>
      </c>
      <c r="F8" t="s">
        <v>2</v>
      </c>
      <c r="G8" t="s">
        <v>2</v>
      </c>
      <c r="H8">
        <v>34</v>
      </c>
      <c r="I8" t="s">
        <v>15</v>
      </c>
    </row>
    <row r="9" spans="1:9" x14ac:dyDescent="0.15">
      <c r="A9">
        <v>8</v>
      </c>
      <c r="B9" t="s">
        <v>16</v>
      </c>
      <c r="C9">
        <v>650</v>
      </c>
      <c r="D9" t="s">
        <v>1</v>
      </c>
      <c r="E9" t="s">
        <v>1</v>
      </c>
      <c r="F9" t="s">
        <v>2</v>
      </c>
      <c r="G9" t="s">
        <v>2</v>
      </c>
      <c r="H9">
        <v>20</v>
      </c>
      <c r="I9" t="s">
        <v>13</v>
      </c>
    </row>
    <row r="10" spans="1:9" x14ac:dyDescent="0.15">
      <c r="A10">
        <v>9</v>
      </c>
      <c r="B10" t="s">
        <v>17</v>
      </c>
      <c r="C10">
        <v>650</v>
      </c>
      <c r="D10" t="s">
        <v>1</v>
      </c>
      <c r="E10" t="s">
        <v>1</v>
      </c>
      <c r="F10" t="s">
        <v>1</v>
      </c>
      <c r="G10" t="s">
        <v>2</v>
      </c>
      <c r="H10">
        <v>27</v>
      </c>
      <c r="I10" t="s">
        <v>18</v>
      </c>
    </row>
    <row r="11" spans="1:9" x14ac:dyDescent="0.15">
      <c r="A11">
        <v>10</v>
      </c>
      <c r="B11" t="s">
        <v>19</v>
      </c>
      <c r="C11">
        <v>800</v>
      </c>
      <c r="D11" t="s">
        <v>1</v>
      </c>
      <c r="E11" t="s">
        <v>1</v>
      </c>
      <c r="F11" t="s">
        <v>20</v>
      </c>
      <c r="G11" t="s">
        <v>20</v>
      </c>
      <c r="H11">
        <v>18</v>
      </c>
      <c r="I11" t="s">
        <v>15</v>
      </c>
    </row>
    <row r="12" spans="1:9" x14ac:dyDescent="0.15">
      <c r="A12">
        <v>11</v>
      </c>
      <c r="B12" t="s">
        <v>21</v>
      </c>
      <c r="C12">
        <v>650</v>
      </c>
      <c r="D12" t="s">
        <v>1</v>
      </c>
      <c r="E12" t="s">
        <v>1</v>
      </c>
      <c r="F12" t="s">
        <v>2</v>
      </c>
      <c r="G12" t="s">
        <v>1</v>
      </c>
      <c r="H12">
        <v>17</v>
      </c>
      <c r="I12" t="s">
        <v>22</v>
      </c>
    </row>
    <row r="13" spans="1:9" x14ac:dyDescent="0.15">
      <c r="A13">
        <v>12</v>
      </c>
      <c r="B13" t="s">
        <v>23</v>
      </c>
      <c r="C13">
        <v>650</v>
      </c>
      <c r="D13" t="s">
        <v>1</v>
      </c>
      <c r="E13" t="s">
        <v>1</v>
      </c>
      <c r="F13" t="s">
        <v>1</v>
      </c>
      <c r="G13" t="s">
        <v>20</v>
      </c>
      <c r="H13">
        <v>28</v>
      </c>
      <c r="I13" t="s">
        <v>24</v>
      </c>
    </row>
    <row r="14" spans="1:9" x14ac:dyDescent="0.15">
      <c r="A14">
        <v>13</v>
      </c>
      <c r="B14" t="s">
        <v>25</v>
      </c>
      <c r="C14">
        <v>690</v>
      </c>
      <c r="D14" t="s">
        <v>1</v>
      </c>
      <c r="E14" t="s">
        <v>20</v>
      </c>
      <c r="F14" t="s">
        <v>2</v>
      </c>
      <c r="G14" t="s">
        <v>20</v>
      </c>
      <c r="H14">
        <v>21</v>
      </c>
      <c r="I14" t="s">
        <v>26</v>
      </c>
    </row>
    <row r="15" spans="1:9" x14ac:dyDescent="0.15">
      <c r="A15">
        <v>14</v>
      </c>
      <c r="B15" t="s">
        <v>27</v>
      </c>
      <c r="C15">
        <v>800</v>
      </c>
      <c r="D15" t="s">
        <v>1</v>
      </c>
      <c r="E15" t="s">
        <v>20</v>
      </c>
      <c r="F15" t="s">
        <v>2</v>
      </c>
      <c r="G15" t="s">
        <v>20</v>
      </c>
      <c r="H15">
        <v>32</v>
      </c>
      <c r="I15" t="s">
        <v>26</v>
      </c>
    </row>
    <row r="16" spans="1:9" x14ac:dyDescent="0.15">
      <c r="A16">
        <v>15</v>
      </c>
      <c r="B16" t="s">
        <v>28</v>
      </c>
      <c r="C16">
        <v>950</v>
      </c>
      <c r="D16" t="s">
        <v>1</v>
      </c>
      <c r="E16" t="s">
        <v>20</v>
      </c>
      <c r="F16" t="s">
        <v>2</v>
      </c>
      <c r="G16" t="s">
        <v>20</v>
      </c>
      <c r="H16">
        <v>40</v>
      </c>
      <c r="I16" t="s">
        <v>15</v>
      </c>
    </row>
    <row r="17" spans="1:9" x14ac:dyDescent="0.15">
      <c r="A17">
        <v>16</v>
      </c>
      <c r="B17" t="s">
        <v>29</v>
      </c>
      <c r="C17">
        <v>700</v>
      </c>
      <c r="D17" t="s">
        <v>1</v>
      </c>
      <c r="E17" t="s">
        <v>20</v>
      </c>
      <c r="F17" t="s">
        <v>2</v>
      </c>
      <c r="G17" t="s">
        <v>20</v>
      </c>
      <c r="H17">
        <v>22</v>
      </c>
      <c r="I17" t="s">
        <v>30</v>
      </c>
    </row>
    <row r="18" spans="1:9" x14ac:dyDescent="0.15">
      <c r="A18">
        <v>17</v>
      </c>
      <c r="B18" t="s">
        <v>31</v>
      </c>
      <c r="C18">
        <v>750</v>
      </c>
      <c r="D18" t="s">
        <v>1</v>
      </c>
      <c r="E18" t="s">
        <v>1</v>
      </c>
      <c r="F18" t="s">
        <v>2</v>
      </c>
      <c r="G18" t="s">
        <v>20</v>
      </c>
      <c r="H18">
        <v>30</v>
      </c>
      <c r="I18" t="s">
        <v>32</v>
      </c>
    </row>
    <row r="19" spans="1:9" x14ac:dyDescent="0.15">
      <c r="A19">
        <v>18</v>
      </c>
      <c r="B19" t="s">
        <v>33</v>
      </c>
      <c r="C19">
        <v>700</v>
      </c>
      <c r="D19" t="s">
        <v>1</v>
      </c>
      <c r="E19" t="s">
        <v>20</v>
      </c>
      <c r="F19" t="s">
        <v>20</v>
      </c>
      <c r="G19" t="s">
        <v>20</v>
      </c>
      <c r="H19">
        <v>40</v>
      </c>
      <c r="I19" t="s">
        <v>34</v>
      </c>
    </row>
    <row r="20" spans="1:9" x14ac:dyDescent="0.15">
      <c r="A20">
        <v>19</v>
      </c>
      <c r="B20" t="s">
        <v>35</v>
      </c>
      <c r="C20">
        <v>900</v>
      </c>
      <c r="D20" t="s">
        <v>1</v>
      </c>
      <c r="E20" t="s">
        <v>1</v>
      </c>
      <c r="F20" t="s">
        <v>2</v>
      </c>
      <c r="G20" t="s">
        <v>20</v>
      </c>
      <c r="H20">
        <v>44</v>
      </c>
      <c r="I20" t="s">
        <v>32</v>
      </c>
    </row>
    <row r="21" spans="1:9" x14ac:dyDescent="0.15">
      <c r="A21">
        <v>20</v>
      </c>
      <c r="B21" t="s">
        <v>36</v>
      </c>
      <c r="C21">
        <v>700</v>
      </c>
      <c r="D21" t="s">
        <v>1</v>
      </c>
      <c r="E21" t="s">
        <v>1</v>
      </c>
      <c r="F21" t="s">
        <v>20</v>
      </c>
      <c r="G21" t="s">
        <v>20</v>
      </c>
      <c r="H21">
        <v>11</v>
      </c>
      <c r="I21" t="s">
        <v>37</v>
      </c>
    </row>
    <row r="22" spans="1:9" x14ac:dyDescent="0.15">
      <c r="A22">
        <v>21</v>
      </c>
      <c r="B22" t="s">
        <v>38</v>
      </c>
      <c r="C22">
        <v>500</v>
      </c>
      <c r="D22" t="s">
        <v>1</v>
      </c>
      <c r="E22" t="s">
        <v>1</v>
      </c>
      <c r="F22" t="s">
        <v>2</v>
      </c>
      <c r="G22" t="s">
        <v>20</v>
      </c>
      <c r="H22">
        <v>5</v>
      </c>
      <c r="I22" t="s">
        <v>39</v>
      </c>
    </row>
    <row r="23" spans="1:9" x14ac:dyDescent="0.15">
      <c r="A23">
        <v>1</v>
      </c>
      <c r="B23" t="s">
        <v>40</v>
      </c>
      <c r="C23">
        <v>560</v>
      </c>
      <c r="D23" t="s">
        <v>1</v>
      </c>
      <c r="E23" t="s">
        <v>1</v>
      </c>
      <c r="F23" t="s">
        <v>20</v>
      </c>
      <c r="G23" t="s">
        <v>20</v>
      </c>
      <c r="H23">
        <v>5</v>
      </c>
      <c r="I23" t="s">
        <v>41</v>
      </c>
    </row>
    <row r="24" spans="1:9" x14ac:dyDescent="0.15">
      <c r="A24">
        <v>2</v>
      </c>
      <c r="B24" t="s">
        <v>42</v>
      </c>
      <c r="C24">
        <v>690</v>
      </c>
      <c r="D24" t="s">
        <v>1</v>
      </c>
      <c r="E24" t="s">
        <v>1</v>
      </c>
      <c r="F24" t="s">
        <v>1</v>
      </c>
      <c r="G24" t="s">
        <v>20</v>
      </c>
      <c r="H24">
        <v>20</v>
      </c>
      <c r="I24" t="s">
        <v>43</v>
      </c>
    </row>
    <row r="25" spans="1:9" x14ac:dyDescent="0.15">
      <c r="A25">
        <v>3</v>
      </c>
      <c r="B25" t="s">
        <v>44</v>
      </c>
      <c r="C25">
        <v>720</v>
      </c>
      <c r="D25" t="s">
        <v>1</v>
      </c>
      <c r="E25" t="s">
        <v>20</v>
      </c>
      <c r="F25" t="s">
        <v>20</v>
      </c>
      <c r="G25" t="s">
        <v>1</v>
      </c>
      <c r="H25">
        <v>28</v>
      </c>
      <c r="I25" t="s">
        <v>45</v>
      </c>
    </row>
    <row r="26" spans="1:9" x14ac:dyDescent="0.15">
      <c r="A26">
        <v>4</v>
      </c>
      <c r="B26" t="s">
        <v>46</v>
      </c>
      <c r="C26">
        <v>815</v>
      </c>
      <c r="D26" t="s">
        <v>1</v>
      </c>
      <c r="E26" t="s">
        <v>1</v>
      </c>
      <c r="F26" t="s">
        <v>20</v>
      </c>
      <c r="G26" t="s">
        <v>1</v>
      </c>
      <c r="H26">
        <v>24</v>
      </c>
      <c r="I26" t="s">
        <v>45</v>
      </c>
    </row>
    <row r="27" spans="1:9" x14ac:dyDescent="0.15">
      <c r="A27">
        <v>5</v>
      </c>
      <c r="B27" t="s">
        <v>47</v>
      </c>
      <c r="C27">
        <v>920</v>
      </c>
      <c r="D27" t="s">
        <v>1</v>
      </c>
      <c r="E27" t="s">
        <v>20</v>
      </c>
      <c r="F27" t="s">
        <v>2</v>
      </c>
      <c r="G27" t="s">
        <v>1</v>
      </c>
      <c r="H27">
        <v>37</v>
      </c>
      <c r="I27" t="s">
        <v>48</v>
      </c>
    </row>
    <row r="28" spans="1:9" x14ac:dyDescent="0.15">
      <c r="A28">
        <v>6</v>
      </c>
      <c r="B28" t="s">
        <v>49</v>
      </c>
      <c r="C28">
        <v>785</v>
      </c>
      <c r="D28" t="s">
        <v>1</v>
      </c>
      <c r="E28" t="s">
        <v>1</v>
      </c>
      <c r="F28" t="s">
        <v>20</v>
      </c>
      <c r="G28" t="s">
        <v>20</v>
      </c>
      <c r="H28">
        <v>30</v>
      </c>
      <c r="I28" t="s">
        <v>50</v>
      </c>
    </row>
    <row r="29" spans="1:9" x14ac:dyDescent="0.15">
      <c r="A29">
        <v>7</v>
      </c>
      <c r="B29" t="s">
        <v>51</v>
      </c>
      <c r="C29">
        <v>650</v>
      </c>
      <c r="D29" t="s">
        <v>1</v>
      </c>
      <c r="E29" t="s">
        <v>1</v>
      </c>
      <c r="F29" t="s">
        <v>1</v>
      </c>
      <c r="G29" t="s">
        <v>20</v>
      </c>
      <c r="H29">
        <v>13</v>
      </c>
      <c r="I29" t="s">
        <v>52</v>
      </c>
    </row>
    <row r="30" spans="1:9" x14ac:dyDescent="0.15">
      <c r="A30">
        <v>8</v>
      </c>
      <c r="B30" t="s">
        <v>53</v>
      </c>
      <c r="C30">
        <v>655</v>
      </c>
      <c r="D30" t="s">
        <v>1</v>
      </c>
      <c r="E30" t="s">
        <v>1</v>
      </c>
      <c r="F30" t="s">
        <v>2</v>
      </c>
      <c r="G30" t="s">
        <v>1</v>
      </c>
      <c r="H30">
        <v>33</v>
      </c>
      <c r="I30" t="s">
        <v>48</v>
      </c>
    </row>
    <row r="31" spans="1:9" x14ac:dyDescent="0.15">
      <c r="A31">
        <v>9</v>
      </c>
      <c r="B31" t="s">
        <v>54</v>
      </c>
      <c r="C31">
        <v>730</v>
      </c>
      <c r="D31" t="s">
        <v>1</v>
      </c>
      <c r="E31" t="s">
        <v>1</v>
      </c>
      <c r="F31" t="s">
        <v>2</v>
      </c>
      <c r="G31" t="s">
        <v>20</v>
      </c>
      <c r="H31">
        <v>29</v>
      </c>
      <c r="I31" t="s">
        <v>48</v>
      </c>
    </row>
    <row r="32" spans="1:9" x14ac:dyDescent="0.15">
      <c r="A32">
        <v>10</v>
      </c>
      <c r="B32" t="s">
        <v>55</v>
      </c>
      <c r="C32">
        <v>650</v>
      </c>
      <c r="D32" t="s">
        <v>1</v>
      </c>
      <c r="E32" t="s">
        <v>1</v>
      </c>
      <c r="F32" t="s">
        <v>2</v>
      </c>
      <c r="G32" t="s">
        <v>2</v>
      </c>
      <c r="H32">
        <v>12</v>
      </c>
      <c r="I32" t="s">
        <v>56</v>
      </c>
    </row>
    <row r="33" spans="1:9" x14ac:dyDescent="0.15">
      <c r="A33">
        <v>11</v>
      </c>
      <c r="B33" t="s">
        <v>57</v>
      </c>
      <c r="C33">
        <v>720</v>
      </c>
      <c r="D33" t="s">
        <v>1</v>
      </c>
      <c r="E33" t="s">
        <v>1</v>
      </c>
      <c r="F33" t="s">
        <v>2</v>
      </c>
      <c r="G33" t="s">
        <v>2</v>
      </c>
      <c r="H33">
        <v>31</v>
      </c>
      <c r="I33" t="s">
        <v>58</v>
      </c>
    </row>
    <row r="34" spans="1:9" x14ac:dyDescent="0.15">
      <c r="A34">
        <v>12</v>
      </c>
      <c r="B34" t="s">
        <v>59</v>
      </c>
      <c r="C34">
        <v>800</v>
      </c>
      <c r="D34" t="s">
        <v>1</v>
      </c>
      <c r="E34" t="s">
        <v>1</v>
      </c>
      <c r="F34" t="s">
        <v>2</v>
      </c>
      <c r="G34" t="s">
        <v>20</v>
      </c>
      <c r="H34">
        <v>18</v>
      </c>
      <c r="I34" t="s">
        <v>60</v>
      </c>
    </row>
    <row r="35" spans="1:9" x14ac:dyDescent="0.15">
      <c r="A35">
        <v>13</v>
      </c>
      <c r="B35" t="s">
        <v>61</v>
      </c>
      <c r="C35">
        <v>800</v>
      </c>
      <c r="D35" t="s">
        <v>1</v>
      </c>
      <c r="E35" t="s">
        <v>1</v>
      </c>
      <c r="F35" t="s">
        <v>2</v>
      </c>
      <c r="G35" t="s">
        <v>2</v>
      </c>
      <c r="H35">
        <v>38</v>
      </c>
      <c r="I35" t="s">
        <v>62</v>
      </c>
    </row>
    <row r="36" spans="1:9" x14ac:dyDescent="0.15">
      <c r="A36">
        <v>14</v>
      </c>
      <c r="B36" t="s">
        <v>63</v>
      </c>
      <c r="C36">
        <v>920</v>
      </c>
      <c r="D36" t="s">
        <v>1</v>
      </c>
      <c r="E36" t="s">
        <v>1</v>
      </c>
      <c r="F36" t="s">
        <v>2</v>
      </c>
      <c r="G36" t="s">
        <v>2</v>
      </c>
      <c r="H36">
        <v>40</v>
      </c>
      <c r="I36" t="s">
        <v>62</v>
      </c>
    </row>
    <row r="37" spans="1:9" x14ac:dyDescent="0.15">
      <c r="A37">
        <v>1</v>
      </c>
      <c r="B37" t="s">
        <v>64</v>
      </c>
      <c r="C37">
        <v>300</v>
      </c>
      <c r="D37" t="s">
        <v>1</v>
      </c>
      <c r="E37" t="s">
        <v>2</v>
      </c>
      <c r="F37" t="s">
        <v>2</v>
      </c>
      <c r="G37" t="s">
        <v>2</v>
      </c>
      <c r="H37" t="s">
        <v>3</v>
      </c>
      <c r="I37" t="s">
        <v>65</v>
      </c>
    </row>
    <row r="38" spans="1:9" x14ac:dyDescent="0.15">
      <c r="A38">
        <v>2</v>
      </c>
      <c r="B38" t="s">
        <v>66</v>
      </c>
      <c r="C38">
        <v>330</v>
      </c>
      <c r="D38" t="s">
        <v>1</v>
      </c>
      <c r="E38" t="s">
        <v>2</v>
      </c>
      <c r="F38" t="s">
        <v>2</v>
      </c>
      <c r="G38" t="s">
        <v>2</v>
      </c>
      <c r="H38" t="s">
        <v>3</v>
      </c>
      <c r="I38" t="s">
        <v>65</v>
      </c>
    </row>
    <row r="39" spans="1:9" x14ac:dyDescent="0.15">
      <c r="A39">
        <v>4</v>
      </c>
      <c r="B39" t="s">
        <v>67</v>
      </c>
      <c r="C39">
        <v>350</v>
      </c>
      <c r="D39" t="s">
        <v>1</v>
      </c>
      <c r="E39" t="s">
        <v>20</v>
      </c>
      <c r="F39" t="s">
        <v>2</v>
      </c>
      <c r="G39" t="s">
        <v>2</v>
      </c>
      <c r="H39">
        <v>2</v>
      </c>
      <c r="I39" t="s">
        <v>68</v>
      </c>
    </row>
    <row r="40" spans="1:9" x14ac:dyDescent="0.15">
      <c r="A40">
        <v>5</v>
      </c>
      <c r="B40" t="s">
        <v>69</v>
      </c>
      <c r="C40">
        <v>380</v>
      </c>
      <c r="D40" t="s">
        <v>1</v>
      </c>
      <c r="E40" t="s">
        <v>20</v>
      </c>
      <c r="F40" t="s">
        <v>2</v>
      </c>
      <c r="G40" t="s">
        <v>2</v>
      </c>
      <c r="H40">
        <v>6</v>
      </c>
      <c r="I40" t="s">
        <v>70</v>
      </c>
    </row>
    <row r="41" spans="1:9" x14ac:dyDescent="0.15">
      <c r="A41">
        <v>6</v>
      </c>
      <c r="B41" t="s">
        <v>71</v>
      </c>
      <c r="C41">
        <v>420</v>
      </c>
      <c r="D41" t="s">
        <v>1</v>
      </c>
      <c r="E41" t="s">
        <v>20</v>
      </c>
      <c r="F41" t="s">
        <v>2</v>
      </c>
      <c r="G41" t="s">
        <v>2</v>
      </c>
      <c r="H41">
        <v>8</v>
      </c>
      <c r="I41" t="s">
        <v>72</v>
      </c>
    </row>
    <row r="42" spans="1:9" x14ac:dyDescent="0.15">
      <c r="A42">
        <v>7</v>
      </c>
      <c r="B42" t="s">
        <v>73</v>
      </c>
      <c r="C42">
        <v>650</v>
      </c>
      <c r="D42" t="s">
        <v>1</v>
      </c>
      <c r="E42" t="s">
        <v>20</v>
      </c>
      <c r="F42" t="s">
        <v>2</v>
      </c>
      <c r="G42" t="s">
        <v>2</v>
      </c>
      <c r="H42">
        <v>22</v>
      </c>
      <c r="I42" t="s">
        <v>74</v>
      </c>
    </row>
    <row r="43" spans="1:9" x14ac:dyDescent="0.15">
      <c r="A43">
        <v>8</v>
      </c>
      <c r="B43" t="s">
        <v>75</v>
      </c>
      <c r="C43">
        <v>260</v>
      </c>
      <c r="D43" t="s">
        <v>1</v>
      </c>
      <c r="E43" t="s">
        <v>2</v>
      </c>
      <c r="F43" t="s">
        <v>2</v>
      </c>
      <c r="G43" t="s">
        <v>2</v>
      </c>
      <c r="H43" t="s">
        <v>3</v>
      </c>
      <c r="I43" t="s">
        <v>76</v>
      </c>
    </row>
    <row r="44" spans="1:9" x14ac:dyDescent="0.15">
      <c r="A44">
        <v>9</v>
      </c>
      <c r="B44" t="s">
        <v>77</v>
      </c>
      <c r="C44">
        <v>400</v>
      </c>
      <c r="D44" t="s">
        <v>1</v>
      </c>
      <c r="E44" t="s">
        <v>20</v>
      </c>
      <c r="F44" t="s">
        <v>2</v>
      </c>
      <c r="G44" t="s">
        <v>2</v>
      </c>
      <c r="H44">
        <v>9</v>
      </c>
      <c r="I44" t="s">
        <v>78</v>
      </c>
    </row>
    <row r="45" spans="1:9" x14ac:dyDescent="0.15">
      <c r="A45">
        <v>10</v>
      </c>
      <c r="B45" t="s">
        <v>79</v>
      </c>
      <c r="C45">
        <v>400</v>
      </c>
      <c r="D45" t="s">
        <v>1</v>
      </c>
      <c r="E45" t="s">
        <v>20</v>
      </c>
      <c r="F45" t="s">
        <v>2</v>
      </c>
      <c r="G45" t="s">
        <v>2</v>
      </c>
      <c r="H45">
        <v>4</v>
      </c>
      <c r="I45" t="s">
        <v>80</v>
      </c>
    </row>
    <row r="46" spans="1:9" x14ac:dyDescent="0.15">
      <c r="A46">
        <v>11</v>
      </c>
      <c r="B46" t="s">
        <v>81</v>
      </c>
      <c r="C46">
        <v>440</v>
      </c>
      <c r="D46" t="s">
        <v>1</v>
      </c>
      <c r="E46" t="s">
        <v>20</v>
      </c>
      <c r="F46" t="s">
        <v>2</v>
      </c>
      <c r="G46" t="s">
        <v>2</v>
      </c>
      <c r="H46">
        <v>2</v>
      </c>
      <c r="I46" t="s">
        <v>82</v>
      </c>
    </row>
    <row r="47" spans="1:9" x14ac:dyDescent="0.15">
      <c r="A47">
        <v>12</v>
      </c>
      <c r="B47" t="s">
        <v>83</v>
      </c>
      <c r="C47">
        <v>520</v>
      </c>
      <c r="D47" t="s">
        <v>1</v>
      </c>
      <c r="E47" t="s">
        <v>20</v>
      </c>
      <c r="F47" t="s">
        <v>20</v>
      </c>
      <c r="G47" t="s">
        <v>1</v>
      </c>
      <c r="H47">
        <v>9</v>
      </c>
      <c r="I47" t="s">
        <v>84</v>
      </c>
    </row>
    <row r="48" spans="1:9" x14ac:dyDescent="0.15">
      <c r="A48">
        <v>13</v>
      </c>
      <c r="B48" t="s">
        <v>85</v>
      </c>
      <c r="C48">
        <v>550</v>
      </c>
      <c r="D48" t="s">
        <v>1</v>
      </c>
      <c r="E48" t="s">
        <v>20</v>
      </c>
      <c r="F48" t="s">
        <v>20</v>
      </c>
      <c r="G48" t="s">
        <v>20</v>
      </c>
      <c r="H48">
        <v>13</v>
      </c>
      <c r="I48" t="s">
        <v>86</v>
      </c>
    </row>
    <row r="49" spans="1:9" x14ac:dyDescent="0.15">
      <c r="A49">
        <v>14</v>
      </c>
      <c r="B49" t="s">
        <v>87</v>
      </c>
      <c r="C49">
        <v>400</v>
      </c>
      <c r="D49" t="s">
        <v>1</v>
      </c>
      <c r="E49" t="s">
        <v>2</v>
      </c>
      <c r="F49" t="s">
        <v>2</v>
      </c>
      <c r="G49" t="s">
        <v>2</v>
      </c>
      <c r="H49" t="s">
        <v>3</v>
      </c>
      <c r="I49" t="s">
        <v>65</v>
      </c>
    </row>
    <row r="50" spans="1:9" x14ac:dyDescent="0.15">
      <c r="A50">
        <v>1</v>
      </c>
      <c r="B50" t="s">
        <v>88</v>
      </c>
      <c r="C50">
        <v>450</v>
      </c>
      <c r="D50" t="s">
        <v>1</v>
      </c>
      <c r="E50" t="s">
        <v>20</v>
      </c>
      <c r="F50" t="s">
        <v>2</v>
      </c>
      <c r="G50" t="s">
        <v>20</v>
      </c>
      <c r="H50">
        <v>6</v>
      </c>
      <c r="I50" t="s">
        <v>89</v>
      </c>
    </row>
    <row r="51" spans="1:9" x14ac:dyDescent="0.15">
      <c r="A51">
        <v>2</v>
      </c>
      <c r="B51" t="s">
        <v>90</v>
      </c>
      <c r="C51">
        <v>580</v>
      </c>
      <c r="D51" t="s">
        <v>1</v>
      </c>
      <c r="E51" t="s">
        <v>1</v>
      </c>
      <c r="F51" t="s">
        <v>2</v>
      </c>
      <c r="G51" t="s">
        <v>20</v>
      </c>
      <c r="H51">
        <v>14</v>
      </c>
      <c r="I51" t="s">
        <v>91</v>
      </c>
    </row>
    <row r="52" spans="1:9" x14ac:dyDescent="0.15">
      <c r="A52">
        <v>3</v>
      </c>
      <c r="B52" t="s">
        <v>92</v>
      </c>
      <c r="C52">
        <v>600</v>
      </c>
      <c r="D52" t="s">
        <v>1</v>
      </c>
      <c r="E52" t="s">
        <v>20</v>
      </c>
      <c r="F52" t="s">
        <v>2</v>
      </c>
      <c r="G52" t="s">
        <v>1</v>
      </c>
      <c r="H52">
        <v>20</v>
      </c>
      <c r="I52" t="s">
        <v>93</v>
      </c>
    </row>
    <row r="53" spans="1:9" x14ac:dyDescent="0.15">
      <c r="A53">
        <v>4</v>
      </c>
      <c r="B53" t="s">
        <v>94</v>
      </c>
      <c r="C53">
        <v>500</v>
      </c>
      <c r="D53" t="s">
        <v>1</v>
      </c>
      <c r="E53" t="s">
        <v>20</v>
      </c>
      <c r="F53" t="s">
        <v>2</v>
      </c>
      <c r="G53" t="s">
        <v>20</v>
      </c>
      <c r="H53">
        <v>28</v>
      </c>
      <c r="I53" t="s">
        <v>95</v>
      </c>
    </row>
    <row r="54" spans="1:9" x14ac:dyDescent="0.15">
      <c r="A54">
        <v>5</v>
      </c>
      <c r="B54" t="s">
        <v>96</v>
      </c>
      <c r="C54">
        <v>700</v>
      </c>
      <c r="D54" t="s">
        <v>1</v>
      </c>
      <c r="E54" t="s">
        <v>1</v>
      </c>
      <c r="F54" t="s">
        <v>2</v>
      </c>
      <c r="G54" t="s">
        <v>1</v>
      </c>
      <c r="H54">
        <v>14</v>
      </c>
      <c r="I54" t="s">
        <v>97</v>
      </c>
    </row>
    <row r="55" spans="1:9" x14ac:dyDescent="0.15">
      <c r="A55">
        <v>6</v>
      </c>
      <c r="B55" t="s">
        <v>98</v>
      </c>
      <c r="C55">
        <v>600</v>
      </c>
      <c r="D55" t="s">
        <v>1</v>
      </c>
      <c r="E55" t="s">
        <v>1</v>
      </c>
      <c r="F55" t="s">
        <v>2</v>
      </c>
      <c r="G55" t="s">
        <v>20</v>
      </c>
      <c r="H55">
        <v>12</v>
      </c>
      <c r="I55" t="s">
        <v>99</v>
      </c>
    </row>
    <row r="56" spans="1:9" x14ac:dyDescent="0.15">
      <c r="A56">
        <v>7</v>
      </c>
      <c r="B56" t="s">
        <v>100</v>
      </c>
      <c r="C56">
        <v>520</v>
      </c>
      <c r="D56" t="s">
        <v>1</v>
      </c>
      <c r="E56" t="s">
        <v>1</v>
      </c>
      <c r="F56" t="s">
        <v>2</v>
      </c>
      <c r="G56" t="s">
        <v>2</v>
      </c>
      <c r="H56">
        <v>22</v>
      </c>
      <c r="I56" t="s">
        <v>101</v>
      </c>
    </row>
    <row r="57" spans="1:9" x14ac:dyDescent="0.15">
      <c r="A57">
        <v>1</v>
      </c>
      <c r="B57" t="s">
        <v>102</v>
      </c>
      <c r="C57">
        <v>710</v>
      </c>
      <c r="D57" t="s">
        <v>1</v>
      </c>
      <c r="E57" t="s">
        <v>1</v>
      </c>
      <c r="F57" t="s">
        <v>2</v>
      </c>
      <c r="G57" t="s">
        <v>20</v>
      </c>
      <c r="H57">
        <v>22</v>
      </c>
      <c r="I57" t="s">
        <v>103</v>
      </c>
    </row>
    <row r="58" spans="1:9" x14ac:dyDescent="0.15">
      <c r="A58">
        <v>2</v>
      </c>
      <c r="B58" t="s">
        <v>104</v>
      </c>
      <c r="C58">
        <v>495</v>
      </c>
      <c r="D58" t="s">
        <v>1</v>
      </c>
      <c r="E58" t="s">
        <v>20</v>
      </c>
      <c r="F58" t="s">
        <v>2</v>
      </c>
      <c r="G58" t="s">
        <v>1</v>
      </c>
      <c r="H58">
        <v>10</v>
      </c>
      <c r="I58" t="s">
        <v>105</v>
      </c>
    </row>
    <row r="59" spans="1:9" x14ac:dyDescent="0.15">
      <c r="A59">
        <v>3</v>
      </c>
      <c r="B59" t="s">
        <v>106</v>
      </c>
      <c r="C59">
        <v>800</v>
      </c>
      <c r="D59" t="s">
        <v>1</v>
      </c>
      <c r="E59" t="s">
        <v>20</v>
      </c>
      <c r="F59" t="s">
        <v>20</v>
      </c>
      <c r="G59" t="s">
        <v>2</v>
      </c>
      <c r="H59">
        <v>35</v>
      </c>
      <c r="I59" t="s">
        <v>107</v>
      </c>
    </row>
    <row r="60" spans="1:9" x14ac:dyDescent="0.15">
      <c r="A60">
        <v>4</v>
      </c>
      <c r="B60" t="s">
        <v>108</v>
      </c>
      <c r="C60">
        <v>680</v>
      </c>
      <c r="D60" t="s">
        <v>1</v>
      </c>
      <c r="E60" t="s">
        <v>2</v>
      </c>
      <c r="F60" t="s">
        <v>2</v>
      </c>
      <c r="G60" t="s">
        <v>2</v>
      </c>
      <c r="H60">
        <v>22</v>
      </c>
      <c r="I60" t="s">
        <v>109</v>
      </c>
    </row>
    <row r="61" spans="1:9" x14ac:dyDescent="0.15">
      <c r="A61">
        <v>5</v>
      </c>
      <c r="B61" t="s">
        <v>110</v>
      </c>
      <c r="C61">
        <v>460</v>
      </c>
      <c r="D61" t="s">
        <v>1</v>
      </c>
      <c r="E61" t="s">
        <v>20</v>
      </c>
      <c r="F61" t="s">
        <v>2</v>
      </c>
      <c r="G61" t="s">
        <v>2</v>
      </c>
      <c r="H61">
        <v>10</v>
      </c>
      <c r="I61" t="s">
        <v>111</v>
      </c>
    </row>
    <row r="62" spans="1:9" x14ac:dyDescent="0.15">
      <c r="A62">
        <v>6</v>
      </c>
      <c r="B62" t="s">
        <v>112</v>
      </c>
      <c r="C62">
        <v>590</v>
      </c>
      <c r="D62" t="s">
        <v>1</v>
      </c>
      <c r="E62" t="s">
        <v>20</v>
      </c>
      <c r="F62" t="s">
        <v>2</v>
      </c>
      <c r="G62" t="s">
        <v>2</v>
      </c>
      <c r="H62">
        <v>18</v>
      </c>
      <c r="I62" t="s">
        <v>113</v>
      </c>
    </row>
    <row r="63" spans="1:9" x14ac:dyDescent="0.15">
      <c r="A63">
        <v>7</v>
      </c>
      <c r="B63" t="s">
        <v>114</v>
      </c>
      <c r="C63">
        <v>550</v>
      </c>
      <c r="D63" t="s">
        <v>1</v>
      </c>
      <c r="E63" t="s">
        <v>1</v>
      </c>
      <c r="F63" t="s">
        <v>1</v>
      </c>
      <c r="G63" t="s">
        <v>2</v>
      </c>
      <c r="H63">
        <v>24</v>
      </c>
      <c r="I63" t="s">
        <v>115</v>
      </c>
    </row>
    <row r="64" spans="1:9" x14ac:dyDescent="0.15">
      <c r="A64">
        <v>8</v>
      </c>
      <c r="B64" t="s">
        <v>116</v>
      </c>
      <c r="C64">
        <v>700</v>
      </c>
      <c r="D64" t="s">
        <v>1</v>
      </c>
      <c r="E64" t="s">
        <v>20</v>
      </c>
      <c r="F64" t="s">
        <v>1</v>
      </c>
      <c r="G64" t="s">
        <v>2</v>
      </c>
      <c r="H64">
        <v>35</v>
      </c>
      <c r="I64" t="s">
        <v>117</v>
      </c>
    </row>
    <row r="65" spans="1:9" x14ac:dyDescent="0.15">
      <c r="A65">
        <v>1</v>
      </c>
      <c r="B65" t="s">
        <v>118</v>
      </c>
      <c r="C65">
        <v>160</v>
      </c>
      <c r="D65" t="s">
        <v>1</v>
      </c>
      <c r="E65" t="s">
        <v>2</v>
      </c>
      <c r="F65" t="s">
        <v>2</v>
      </c>
      <c r="G65" t="s">
        <v>2</v>
      </c>
      <c r="H65">
        <v>2</v>
      </c>
      <c r="I65" t="s">
        <v>119</v>
      </c>
    </row>
    <row r="66" spans="1:9" x14ac:dyDescent="0.15">
      <c r="A66">
        <v>2</v>
      </c>
      <c r="B66" t="s">
        <v>120</v>
      </c>
      <c r="C66">
        <v>150</v>
      </c>
      <c r="D66" t="s">
        <v>1</v>
      </c>
      <c r="E66" t="s">
        <v>2</v>
      </c>
      <c r="F66" t="s">
        <v>2</v>
      </c>
      <c r="G66" t="s">
        <v>2</v>
      </c>
      <c r="H66">
        <v>3</v>
      </c>
      <c r="I66" t="s">
        <v>3</v>
      </c>
    </row>
    <row r="67" spans="1:9" x14ac:dyDescent="0.15">
      <c r="A67">
        <v>3</v>
      </c>
      <c r="B67" t="s">
        <v>121</v>
      </c>
      <c r="C67">
        <v>210</v>
      </c>
      <c r="D67" t="s">
        <v>1</v>
      </c>
      <c r="E67" t="s">
        <v>2</v>
      </c>
      <c r="F67" t="s">
        <v>2</v>
      </c>
      <c r="G67" t="s">
        <v>2</v>
      </c>
      <c r="H67">
        <v>3</v>
      </c>
      <c r="I67" t="s">
        <v>122</v>
      </c>
    </row>
    <row r="68" spans="1:9" x14ac:dyDescent="0.15">
      <c r="A68">
        <v>4</v>
      </c>
      <c r="B68" t="s">
        <v>123</v>
      </c>
      <c r="C68">
        <v>200</v>
      </c>
      <c r="D68" t="s">
        <v>1</v>
      </c>
      <c r="E68" t="s">
        <v>2</v>
      </c>
      <c r="F68" t="s">
        <v>2</v>
      </c>
      <c r="G68" t="s">
        <v>2</v>
      </c>
      <c r="H68">
        <v>8</v>
      </c>
      <c r="I68" t="s">
        <v>124</v>
      </c>
    </row>
    <row r="69" spans="1:9" x14ac:dyDescent="0.15">
      <c r="A69">
        <v>5</v>
      </c>
      <c r="B69" t="s">
        <v>125</v>
      </c>
      <c r="C69">
        <v>330</v>
      </c>
      <c r="D69" t="s">
        <v>1</v>
      </c>
      <c r="E69" t="s">
        <v>20</v>
      </c>
      <c r="F69" t="s">
        <v>20</v>
      </c>
      <c r="G69" t="s">
        <v>2</v>
      </c>
      <c r="H69">
        <v>12</v>
      </c>
      <c r="I69" t="s">
        <v>126</v>
      </c>
    </row>
    <row r="70" spans="1:9" x14ac:dyDescent="0.15">
      <c r="A70">
        <v>6</v>
      </c>
      <c r="B70" t="s">
        <v>127</v>
      </c>
      <c r="C70">
        <v>325</v>
      </c>
      <c r="D70" t="s">
        <v>1</v>
      </c>
      <c r="E70" t="s">
        <v>20</v>
      </c>
      <c r="F70" t="s">
        <v>2</v>
      </c>
      <c r="G70" t="s">
        <v>2</v>
      </c>
      <c r="H70">
        <v>15</v>
      </c>
      <c r="I70" t="s">
        <v>72</v>
      </c>
    </row>
    <row r="71" spans="1:9" x14ac:dyDescent="0.15">
      <c r="A71">
        <v>7</v>
      </c>
      <c r="B71" t="s">
        <v>128</v>
      </c>
      <c r="C71">
        <v>320</v>
      </c>
      <c r="D71" t="s">
        <v>1</v>
      </c>
      <c r="E71" t="s">
        <v>2</v>
      </c>
      <c r="F71" t="s">
        <v>2</v>
      </c>
      <c r="G71" t="s">
        <v>2</v>
      </c>
      <c r="H71">
        <v>4</v>
      </c>
      <c r="I71" t="s">
        <v>129</v>
      </c>
    </row>
    <row r="72" spans="1:9" x14ac:dyDescent="0.15">
      <c r="A72">
        <v>8</v>
      </c>
      <c r="B72" t="s">
        <v>130</v>
      </c>
      <c r="C72">
        <v>320</v>
      </c>
      <c r="D72" t="s">
        <v>1</v>
      </c>
      <c r="E72" t="s">
        <v>2</v>
      </c>
      <c r="F72" t="s">
        <v>2</v>
      </c>
      <c r="G72" t="s">
        <v>2</v>
      </c>
      <c r="H72">
        <v>10</v>
      </c>
      <c r="I72" t="s">
        <v>131</v>
      </c>
    </row>
    <row r="73" spans="1:9" x14ac:dyDescent="0.15">
      <c r="A73">
        <v>9</v>
      </c>
      <c r="B73" t="s">
        <v>132</v>
      </c>
      <c r="C73">
        <v>220</v>
      </c>
      <c r="D73" t="s">
        <v>1</v>
      </c>
      <c r="E73" t="s">
        <v>2</v>
      </c>
      <c r="F73" t="s">
        <v>2</v>
      </c>
      <c r="G73" t="s">
        <v>2</v>
      </c>
      <c r="H73">
        <v>12</v>
      </c>
      <c r="I73" t="s">
        <v>133</v>
      </c>
    </row>
    <row r="74" spans="1:9" x14ac:dyDescent="0.15">
      <c r="A74">
        <v>10</v>
      </c>
      <c r="B74" t="s">
        <v>134</v>
      </c>
      <c r="C74">
        <v>250</v>
      </c>
      <c r="D74" t="s">
        <v>20</v>
      </c>
      <c r="E74" t="s">
        <v>1</v>
      </c>
      <c r="F74" t="s">
        <v>2</v>
      </c>
      <c r="G74" t="s">
        <v>2</v>
      </c>
      <c r="H74">
        <v>5</v>
      </c>
      <c r="I74" t="s">
        <v>135</v>
      </c>
    </row>
    <row r="75" spans="1:9" x14ac:dyDescent="0.15">
      <c r="A75">
        <v>11</v>
      </c>
      <c r="B75" t="s">
        <v>136</v>
      </c>
      <c r="C75">
        <v>270</v>
      </c>
      <c r="D75" t="s">
        <v>1</v>
      </c>
      <c r="E75" t="s">
        <v>2</v>
      </c>
      <c r="F75" t="s">
        <v>2</v>
      </c>
      <c r="G75" t="s">
        <v>2</v>
      </c>
      <c r="H75">
        <v>6</v>
      </c>
      <c r="I75" t="s">
        <v>137</v>
      </c>
    </row>
    <row r="76" spans="1:9" x14ac:dyDescent="0.15">
      <c r="A76">
        <v>12</v>
      </c>
      <c r="B76" t="s">
        <v>138</v>
      </c>
      <c r="C76">
        <v>250</v>
      </c>
      <c r="D76" t="s">
        <v>1</v>
      </c>
      <c r="E76" t="s">
        <v>2</v>
      </c>
      <c r="F76" t="s">
        <v>2</v>
      </c>
      <c r="G76" t="s">
        <v>1</v>
      </c>
      <c r="H76">
        <v>11</v>
      </c>
      <c r="I76" t="s">
        <v>139</v>
      </c>
    </row>
    <row r="77" spans="1:9" x14ac:dyDescent="0.15">
      <c r="A77">
        <v>13</v>
      </c>
      <c r="B77" t="s">
        <v>140</v>
      </c>
      <c r="C77">
        <v>280</v>
      </c>
      <c r="D77" t="s">
        <v>1</v>
      </c>
      <c r="E77" t="s">
        <v>1</v>
      </c>
      <c r="F77" t="s">
        <v>2</v>
      </c>
      <c r="G77" t="s">
        <v>2</v>
      </c>
      <c r="H77">
        <v>13</v>
      </c>
      <c r="I77" t="s">
        <v>139</v>
      </c>
    </row>
    <row r="78" spans="1:9" x14ac:dyDescent="0.15">
      <c r="A78">
        <v>1</v>
      </c>
      <c r="B78" t="s">
        <v>141</v>
      </c>
      <c r="C78">
        <v>250</v>
      </c>
      <c r="D78" t="s">
        <v>1</v>
      </c>
      <c r="E78" t="s">
        <v>20</v>
      </c>
      <c r="F78" t="s">
        <v>2</v>
      </c>
      <c r="G78" t="s">
        <v>2</v>
      </c>
      <c r="H78">
        <v>9</v>
      </c>
      <c r="I78" t="s">
        <v>142</v>
      </c>
    </row>
    <row r="79" spans="1:9" x14ac:dyDescent="0.15">
      <c r="A79">
        <v>2</v>
      </c>
      <c r="B79" t="s">
        <v>143</v>
      </c>
      <c r="C79">
        <v>300</v>
      </c>
      <c r="D79" t="s">
        <v>1</v>
      </c>
      <c r="E79" t="s">
        <v>1</v>
      </c>
      <c r="F79" t="s">
        <v>20</v>
      </c>
      <c r="G79" t="s">
        <v>2</v>
      </c>
      <c r="H79">
        <v>13</v>
      </c>
      <c r="I79" t="s">
        <v>144</v>
      </c>
    </row>
    <row r="80" spans="1:9" x14ac:dyDescent="0.15">
      <c r="A80">
        <v>3</v>
      </c>
      <c r="B80" t="s">
        <v>145</v>
      </c>
      <c r="C80">
        <v>480</v>
      </c>
      <c r="D80" t="s">
        <v>1</v>
      </c>
      <c r="E80" t="s">
        <v>1</v>
      </c>
      <c r="F80" t="s">
        <v>2</v>
      </c>
      <c r="G80" t="s">
        <v>20</v>
      </c>
      <c r="H80">
        <v>32</v>
      </c>
      <c r="I80" t="s">
        <v>146</v>
      </c>
    </row>
    <row r="81" spans="1:9" x14ac:dyDescent="0.15">
      <c r="A81">
        <v>4</v>
      </c>
      <c r="B81" t="s">
        <v>147</v>
      </c>
      <c r="C81">
        <v>350</v>
      </c>
      <c r="D81" t="s">
        <v>1</v>
      </c>
      <c r="E81" t="s">
        <v>1</v>
      </c>
      <c r="F81" t="s">
        <v>2</v>
      </c>
      <c r="G81" t="s">
        <v>2</v>
      </c>
      <c r="H81">
        <v>15</v>
      </c>
      <c r="I81" t="s">
        <v>148</v>
      </c>
    </row>
    <row r="82" spans="1:9" x14ac:dyDescent="0.15">
      <c r="A82">
        <v>5</v>
      </c>
      <c r="B82" t="s">
        <v>149</v>
      </c>
      <c r="C82">
        <v>700</v>
      </c>
      <c r="D82" t="s">
        <v>1</v>
      </c>
      <c r="E82" t="s">
        <v>1</v>
      </c>
      <c r="F82" t="s">
        <v>2</v>
      </c>
      <c r="G82" t="s">
        <v>1</v>
      </c>
      <c r="H82">
        <v>26</v>
      </c>
      <c r="I82" t="s">
        <v>150</v>
      </c>
    </row>
    <row r="83" spans="1:9" x14ac:dyDescent="0.15">
      <c r="A83">
        <v>6</v>
      </c>
      <c r="B83" t="s">
        <v>151</v>
      </c>
      <c r="C83">
        <v>500</v>
      </c>
      <c r="D83" t="s">
        <v>1</v>
      </c>
      <c r="E83" t="s">
        <v>20</v>
      </c>
      <c r="F83" t="s">
        <v>2</v>
      </c>
      <c r="G83" t="s">
        <v>1</v>
      </c>
      <c r="H83">
        <v>25</v>
      </c>
      <c r="I83" t="s">
        <v>152</v>
      </c>
    </row>
    <row r="84" spans="1:9" x14ac:dyDescent="0.15">
      <c r="A84">
        <v>7</v>
      </c>
      <c r="B84" t="s">
        <v>153</v>
      </c>
      <c r="C84">
        <v>500</v>
      </c>
      <c r="D84" t="s">
        <v>1</v>
      </c>
      <c r="E84" t="s">
        <v>20</v>
      </c>
      <c r="F84" t="s">
        <v>2</v>
      </c>
      <c r="G84" t="s">
        <v>2</v>
      </c>
      <c r="H84">
        <v>28</v>
      </c>
      <c r="I84" t="s">
        <v>154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74"/>
  <sheetViews>
    <sheetView workbookViewId="0">
      <selection activeCell="C2" sqref="C2"/>
    </sheetView>
  </sheetViews>
  <sheetFormatPr defaultRowHeight="13.5" x14ac:dyDescent="0.15"/>
  <sheetData>
    <row r="1" spans="1:9" x14ac:dyDescent="0.15">
      <c r="B1" t="s">
        <v>439</v>
      </c>
      <c r="C1">
        <v>0</v>
      </c>
    </row>
    <row r="2" spans="1:9" x14ac:dyDescent="0.15">
      <c r="A2">
        <v>1</v>
      </c>
      <c r="B2" t="s">
        <v>155</v>
      </c>
      <c r="C2">
        <v>280</v>
      </c>
      <c r="D2" t="s">
        <v>2</v>
      </c>
      <c r="E2" t="s">
        <v>1</v>
      </c>
      <c r="F2" t="s">
        <v>2</v>
      </c>
      <c r="G2" t="s">
        <v>2</v>
      </c>
      <c r="H2">
        <v>20</v>
      </c>
      <c r="I2" t="s">
        <v>156</v>
      </c>
    </row>
    <row r="3" spans="1:9" x14ac:dyDescent="0.15">
      <c r="A3">
        <v>2</v>
      </c>
      <c r="B3" t="s">
        <v>157</v>
      </c>
      <c r="C3">
        <v>320</v>
      </c>
      <c r="D3" t="s">
        <v>2</v>
      </c>
      <c r="E3" t="s">
        <v>1</v>
      </c>
      <c r="F3" t="s">
        <v>2</v>
      </c>
      <c r="G3" t="s">
        <v>2</v>
      </c>
      <c r="H3">
        <v>25</v>
      </c>
      <c r="I3" t="s">
        <v>158</v>
      </c>
    </row>
    <row r="4" spans="1:9" x14ac:dyDescent="0.15">
      <c r="A4">
        <v>3</v>
      </c>
      <c r="B4" t="s">
        <v>159</v>
      </c>
      <c r="C4">
        <v>320</v>
      </c>
      <c r="D4" t="s">
        <v>2</v>
      </c>
      <c r="E4" t="s">
        <v>1</v>
      </c>
      <c r="F4" t="s">
        <v>2</v>
      </c>
      <c r="G4" t="s">
        <v>2</v>
      </c>
      <c r="H4">
        <v>25</v>
      </c>
      <c r="I4" t="s">
        <v>158</v>
      </c>
    </row>
    <row r="5" spans="1:9" x14ac:dyDescent="0.15">
      <c r="A5">
        <v>4</v>
      </c>
      <c r="B5" t="s">
        <v>160</v>
      </c>
      <c r="C5">
        <v>160</v>
      </c>
      <c r="D5" t="s">
        <v>2</v>
      </c>
      <c r="E5" t="s">
        <v>1</v>
      </c>
      <c r="F5" t="s">
        <v>2</v>
      </c>
      <c r="G5" t="s">
        <v>2</v>
      </c>
      <c r="H5">
        <v>4</v>
      </c>
      <c r="I5" t="s">
        <v>161</v>
      </c>
    </row>
    <row r="6" spans="1:9" x14ac:dyDescent="0.15">
      <c r="A6">
        <v>5</v>
      </c>
      <c r="B6" t="s">
        <v>162</v>
      </c>
      <c r="C6">
        <v>160</v>
      </c>
      <c r="D6" t="s">
        <v>2</v>
      </c>
      <c r="E6" t="s">
        <v>1</v>
      </c>
      <c r="F6" t="s">
        <v>2</v>
      </c>
      <c r="G6" t="s">
        <v>2</v>
      </c>
      <c r="H6">
        <v>7</v>
      </c>
      <c r="I6" t="s">
        <v>161</v>
      </c>
    </row>
    <row r="7" spans="1:9" x14ac:dyDescent="0.15">
      <c r="A7">
        <v>6</v>
      </c>
      <c r="B7" t="s">
        <v>163</v>
      </c>
      <c r="C7">
        <v>120</v>
      </c>
      <c r="D7" t="s">
        <v>2</v>
      </c>
      <c r="E7" t="s">
        <v>1</v>
      </c>
      <c r="F7" t="s">
        <v>2</v>
      </c>
      <c r="G7" t="s">
        <v>2</v>
      </c>
      <c r="H7">
        <v>7</v>
      </c>
      <c r="I7" t="s">
        <v>164</v>
      </c>
    </row>
    <row r="8" spans="1:9" x14ac:dyDescent="0.15">
      <c r="A8">
        <v>7</v>
      </c>
      <c r="B8" t="s">
        <v>165</v>
      </c>
      <c r="C8">
        <v>200</v>
      </c>
      <c r="D8" t="s">
        <v>20</v>
      </c>
      <c r="E8" t="s">
        <v>1</v>
      </c>
      <c r="F8" t="s">
        <v>2</v>
      </c>
      <c r="G8" t="s">
        <v>1</v>
      </c>
      <c r="H8">
        <v>30</v>
      </c>
      <c r="I8" t="s">
        <v>166</v>
      </c>
    </row>
    <row r="9" spans="1:9" x14ac:dyDescent="0.15">
      <c r="A9">
        <v>8</v>
      </c>
      <c r="B9" t="s">
        <v>167</v>
      </c>
      <c r="C9">
        <v>220</v>
      </c>
      <c r="D9" t="s">
        <v>2</v>
      </c>
      <c r="E9" t="s">
        <v>1</v>
      </c>
      <c r="F9" t="s">
        <v>1</v>
      </c>
      <c r="G9" t="s">
        <v>2</v>
      </c>
      <c r="H9">
        <v>8</v>
      </c>
      <c r="I9" t="s">
        <v>168</v>
      </c>
    </row>
    <row r="10" spans="1:9" x14ac:dyDescent="0.15">
      <c r="A10">
        <v>9</v>
      </c>
      <c r="B10" t="s">
        <v>169</v>
      </c>
      <c r="C10">
        <v>400</v>
      </c>
      <c r="D10" t="s">
        <v>2</v>
      </c>
      <c r="E10" t="s">
        <v>1</v>
      </c>
      <c r="F10" t="s">
        <v>1</v>
      </c>
      <c r="G10" t="s">
        <v>2</v>
      </c>
      <c r="H10">
        <v>30</v>
      </c>
      <c r="I10" t="s">
        <v>170</v>
      </c>
    </row>
    <row r="11" spans="1:9" x14ac:dyDescent="0.15">
      <c r="A11">
        <v>12</v>
      </c>
      <c r="B11" t="s">
        <v>171</v>
      </c>
      <c r="C11">
        <v>250</v>
      </c>
      <c r="D11" t="s">
        <v>2</v>
      </c>
      <c r="E11" t="s">
        <v>1</v>
      </c>
      <c r="F11" t="s">
        <v>2</v>
      </c>
      <c r="G11" t="s">
        <v>2</v>
      </c>
      <c r="H11">
        <v>18</v>
      </c>
      <c r="I11" t="s">
        <v>172</v>
      </c>
    </row>
    <row r="12" spans="1:9" x14ac:dyDescent="0.15">
      <c r="A12">
        <v>1</v>
      </c>
      <c r="B12" t="s">
        <v>173</v>
      </c>
      <c r="C12">
        <v>450</v>
      </c>
      <c r="D12" t="s">
        <v>20</v>
      </c>
      <c r="E12" t="s">
        <v>1</v>
      </c>
      <c r="F12" t="s">
        <v>2</v>
      </c>
      <c r="G12" t="s">
        <v>1</v>
      </c>
      <c r="H12">
        <v>35</v>
      </c>
      <c r="I12" t="s">
        <v>174</v>
      </c>
    </row>
    <row r="13" spans="1:9" x14ac:dyDescent="0.15">
      <c r="A13">
        <v>2</v>
      </c>
      <c r="B13" t="s">
        <v>175</v>
      </c>
      <c r="C13">
        <v>300</v>
      </c>
      <c r="D13" t="s">
        <v>2</v>
      </c>
      <c r="E13" t="s">
        <v>1</v>
      </c>
      <c r="F13" t="s">
        <v>2</v>
      </c>
      <c r="G13" t="s">
        <v>1</v>
      </c>
      <c r="H13">
        <v>15</v>
      </c>
      <c r="I13" t="s">
        <v>176</v>
      </c>
    </row>
    <row r="14" spans="1:9" x14ac:dyDescent="0.15">
      <c r="A14">
        <v>3</v>
      </c>
      <c r="B14" t="s">
        <v>177</v>
      </c>
      <c r="C14">
        <v>380</v>
      </c>
      <c r="D14" t="s">
        <v>2</v>
      </c>
      <c r="E14" t="s">
        <v>1</v>
      </c>
      <c r="F14" t="s">
        <v>2</v>
      </c>
      <c r="G14" t="s">
        <v>1</v>
      </c>
      <c r="H14">
        <v>30</v>
      </c>
      <c r="I14" t="s">
        <v>86</v>
      </c>
    </row>
    <row r="15" spans="1:9" x14ac:dyDescent="0.15">
      <c r="A15">
        <v>4</v>
      </c>
      <c r="B15" t="s">
        <v>178</v>
      </c>
      <c r="C15">
        <v>450</v>
      </c>
      <c r="D15" t="s">
        <v>2</v>
      </c>
      <c r="E15" t="s">
        <v>2</v>
      </c>
      <c r="F15" t="s">
        <v>2</v>
      </c>
      <c r="G15" t="s">
        <v>2</v>
      </c>
      <c r="H15">
        <v>38</v>
      </c>
      <c r="I15" t="s">
        <v>179</v>
      </c>
    </row>
    <row r="16" spans="1:9" x14ac:dyDescent="0.15">
      <c r="A16">
        <v>5</v>
      </c>
      <c r="B16" t="s">
        <v>180</v>
      </c>
      <c r="C16">
        <v>300</v>
      </c>
      <c r="D16" t="s">
        <v>20</v>
      </c>
      <c r="E16" t="s">
        <v>20</v>
      </c>
      <c r="F16" t="s">
        <v>2</v>
      </c>
      <c r="G16" t="s">
        <v>20</v>
      </c>
      <c r="H16">
        <v>17</v>
      </c>
      <c r="I16" t="s">
        <v>181</v>
      </c>
    </row>
    <row r="17" spans="1:9" x14ac:dyDescent="0.15">
      <c r="A17">
        <v>6</v>
      </c>
      <c r="B17" t="s">
        <v>182</v>
      </c>
      <c r="C17">
        <v>300</v>
      </c>
      <c r="D17" t="s">
        <v>20</v>
      </c>
      <c r="E17" t="s">
        <v>20</v>
      </c>
      <c r="F17" t="s">
        <v>2</v>
      </c>
      <c r="G17" t="s">
        <v>20</v>
      </c>
      <c r="H17">
        <v>17</v>
      </c>
      <c r="I17" t="s">
        <v>183</v>
      </c>
    </row>
    <row r="18" spans="1:9" x14ac:dyDescent="0.15">
      <c r="A18">
        <v>7</v>
      </c>
      <c r="B18" t="s">
        <v>184</v>
      </c>
      <c r="C18">
        <v>250</v>
      </c>
      <c r="D18" t="s">
        <v>20</v>
      </c>
      <c r="E18" t="s">
        <v>20</v>
      </c>
      <c r="F18" t="s">
        <v>2</v>
      </c>
      <c r="G18" t="s">
        <v>20</v>
      </c>
      <c r="H18">
        <v>26</v>
      </c>
      <c r="I18" t="s">
        <v>185</v>
      </c>
    </row>
    <row r="19" spans="1:9" x14ac:dyDescent="0.15">
      <c r="A19">
        <v>8</v>
      </c>
      <c r="B19" t="s">
        <v>186</v>
      </c>
      <c r="C19">
        <v>100</v>
      </c>
      <c r="D19" t="s">
        <v>20</v>
      </c>
      <c r="E19" t="s">
        <v>20</v>
      </c>
      <c r="F19" t="s">
        <v>2</v>
      </c>
      <c r="G19" t="s">
        <v>20</v>
      </c>
      <c r="H19">
        <v>7</v>
      </c>
      <c r="I19" t="s">
        <v>187</v>
      </c>
    </row>
    <row r="20" spans="1:9" x14ac:dyDescent="0.15">
      <c r="A20">
        <v>9</v>
      </c>
      <c r="B20" t="s">
        <v>188</v>
      </c>
      <c r="C20">
        <v>50</v>
      </c>
      <c r="D20" t="s">
        <v>2</v>
      </c>
      <c r="E20" t="s">
        <v>20</v>
      </c>
      <c r="F20" t="s">
        <v>2</v>
      </c>
      <c r="G20" t="s">
        <v>2</v>
      </c>
      <c r="H20">
        <v>8</v>
      </c>
      <c r="I20" t="s">
        <v>189</v>
      </c>
    </row>
    <row r="21" spans="1:9" x14ac:dyDescent="0.15">
      <c r="A21">
        <v>10</v>
      </c>
      <c r="B21" t="s">
        <v>190</v>
      </c>
      <c r="C21">
        <v>250</v>
      </c>
      <c r="D21" t="s">
        <v>2</v>
      </c>
      <c r="E21" t="s">
        <v>20</v>
      </c>
      <c r="F21" t="s">
        <v>2</v>
      </c>
      <c r="G21" t="s">
        <v>2</v>
      </c>
      <c r="H21">
        <v>20</v>
      </c>
      <c r="I21" t="s">
        <v>191</v>
      </c>
    </row>
    <row r="22" spans="1:9" x14ac:dyDescent="0.15">
      <c r="A22">
        <v>11</v>
      </c>
      <c r="B22" t="s">
        <v>192</v>
      </c>
      <c r="C22">
        <v>150</v>
      </c>
      <c r="D22" t="s">
        <v>2</v>
      </c>
      <c r="E22" t="s">
        <v>1</v>
      </c>
      <c r="F22" t="s">
        <v>2</v>
      </c>
      <c r="G22" t="s">
        <v>2</v>
      </c>
      <c r="H22">
        <v>7</v>
      </c>
      <c r="I22" t="s">
        <v>193</v>
      </c>
    </row>
    <row r="23" spans="1:9" x14ac:dyDescent="0.15">
      <c r="A23">
        <v>12</v>
      </c>
      <c r="B23" t="s">
        <v>194</v>
      </c>
      <c r="C23">
        <v>190</v>
      </c>
      <c r="D23" t="s">
        <v>2</v>
      </c>
      <c r="E23" t="s">
        <v>20</v>
      </c>
      <c r="F23" t="s">
        <v>2</v>
      </c>
      <c r="G23" t="s">
        <v>1</v>
      </c>
      <c r="H23">
        <v>1</v>
      </c>
      <c r="I23" t="s">
        <v>195</v>
      </c>
    </row>
    <row r="24" spans="1:9" x14ac:dyDescent="0.15">
      <c r="A24">
        <v>13</v>
      </c>
      <c r="B24" t="s">
        <v>196</v>
      </c>
      <c r="C24">
        <v>280</v>
      </c>
      <c r="D24" t="s">
        <v>2</v>
      </c>
      <c r="E24" t="s">
        <v>1</v>
      </c>
      <c r="F24" t="s">
        <v>2</v>
      </c>
      <c r="G24" t="s">
        <v>1</v>
      </c>
      <c r="H24">
        <v>17</v>
      </c>
      <c r="I24" t="s">
        <v>197</v>
      </c>
    </row>
    <row r="25" spans="1:9" x14ac:dyDescent="0.15">
      <c r="A25">
        <v>14</v>
      </c>
      <c r="B25" t="s">
        <v>198</v>
      </c>
      <c r="C25">
        <v>250</v>
      </c>
      <c r="D25" t="s">
        <v>2</v>
      </c>
      <c r="E25" t="s">
        <v>1</v>
      </c>
      <c r="F25" t="s">
        <v>2</v>
      </c>
      <c r="G25" t="s">
        <v>2</v>
      </c>
      <c r="H25">
        <v>15</v>
      </c>
      <c r="I25" t="s">
        <v>199</v>
      </c>
    </row>
    <row r="26" spans="1:9" x14ac:dyDescent="0.15">
      <c r="A26">
        <v>15</v>
      </c>
      <c r="B26" t="s">
        <v>200</v>
      </c>
      <c r="C26">
        <v>280</v>
      </c>
      <c r="D26" t="s">
        <v>2</v>
      </c>
      <c r="E26" t="s">
        <v>20</v>
      </c>
      <c r="F26" t="s">
        <v>2</v>
      </c>
      <c r="G26" t="s">
        <v>1</v>
      </c>
      <c r="H26">
        <v>25</v>
      </c>
      <c r="I26" t="s">
        <v>201</v>
      </c>
    </row>
    <row r="27" spans="1:9" x14ac:dyDescent="0.15">
      <c r="A27">
        <v>1</v>
      </c>
      <c r="B27" t="s">
        <v>202</v>
      </c>
      <c r="C27">
        <v>70</v>
      </c>
      <c r="D27" t="s">
        <v>2</v>
      </c>
      <c r="E27" t="s">
        <v>20</v>
      </c>
      <c r="F27" t="s">
        <v>2</v>
      </c>
      <c r="G27" t="s">
        <v>2</v>
      </c>
      <c r="H27">
        <v>4</v>
      </c>
      <c r="I27" t="s">
        <v>203</v>
      </c>
    </row>
    <row r="28" spans="1:9" x14ac:dyDescent="0.15">
      <c r="A28">
        <v>2</v>
      </c>
      <c r="B28" t="s">
        <v>204</v>
      </c>
      <c r="C28">
        <v>140</v>
      </c>
      <c r="D28" t="s">
        <v>2</v>
      </c>
      <c r="E28" t="s">
        <v>2</v>
      </c>
      <c r="F28" t="s">
        <v>2</v>
      </c>
      <c r="G28" t="s">
        <v>2</v>
      </c>
      <c r="H28">
        <v>13</v>
      </c>
      <c r="I28" t="s">
        <v>205</v>
      </c>
    </row>
    <row r="29" spans="1:9" x14ac:dyDescent="0.15">
      <c r="A29">
        <v>3</v>
      </c>
      <c r="B29" t="s">
        <v>206</v>
      </c>
      <c r="C29">
        <v>100</v>
      </c>
      <c r="D29" t="s">
        <v>2</v>
      </c>
      <c r="E29" t="s">
        <v>20</v>
      </c>
      <c r="F29" t="s">
        <v>2</v>
      </c>
      <c r="G29" t="s">
        <v>2</v>
      </c>
      <c r="H29">
        <v>7</v>
      </c>
      <c r="I29" t="s">
        <v>158</v>
      </c>
    </row>
    <row r="30" spans="1:9" x14ac:dyDescent="0.15">
      <c r="A30">
        <v>4</v>
      </c>
      <c r="B30" t="s">
        <v>207</v>
      </c>
      <c r="C30">
        <v>50</v>
      </c>
      <c r="D30" t="s">
        <v>2</v>
      </c>
      <c r="E30" t="s">
        <v>20</v>
      </c>
      <c r="F30" t="s">
        <v>2</v>
      </c>
      <c r="G30" t="s">
        <v>2</v>
      </c>
      <c r="H30">
        <v>1</v>
      </c>
      <c r="I30" t="s">
        <v>208</v>
      </c>
    </row>
    <row r="31" spans="1:9" x14ac:dyDescent="0.15">
      <c r="A31">
        <v>5</v>
      </c>
      <c r="B31" t="s">
        <v>209</v>
      </c>
      <c r="C31">
        <v>40</v>
      </c>
      <c r="D31" t="s">
        <v>2</v>
      </c>
      <c r="E31" t="s">
        <v>20</v>
      </c>
      <c r="F31" t="s">
        <v>2</v>
      </c>
      <c r="G31" t="s">
        <v>2</v>
      </c>
      <c r="H31">
        <v>0.2</v>
      </c>
      <c r="I31" t="s">
        <v>210</v>
      </c>
    </row>
    <row r="32" spans="1:9" x14ac:dyDescent="0.15">
      <c r="A32">
        <v>1</v>
      </c>
      <c r="B32" t="s">
        <v>211</v>
      </c>
      <c r="C32">
        <v>420</v>
      </c>
      <c r="D32" t="s">
        <v>2</v>
      </c>
      <c r="E32" t="s">
        <v>1</v>
      </c>
      <c r="F32" t="s">
        <v>2</v>
      </c>
      <c r="G32" t="s">
        <v>2</v>
      </c>
      <c r="H32">
        <v>20</v>
      </c>
      <c r="I32" t="s">
        <v>172</v>
      </c>
    </row>
    <row r="33" spans="1:9" x14ac:dyDescent="0.15">
      <c r="A33">
        <v>2</v>
      </c>
      <c r="B33" t="s">
        <v>212</v>
      </c>
      <c r="C33">
        <v>400</v>
      </c>
      <c r="D33" t="s">
        <v>20</v>
      </c>
      <c r="E33" t="s">
        <v>1</v>
      </c>
      <c r="F33" t="s">
        <v>2</v>
      </c>
      <c r="G33" t="s">
        <v>2</v>
      </c>
      <c r="H33">
        <v>28</v>
      </c>
      <c r="I33" t="s">
        <v>213</v>
      </c>
    </row>
    <row r="34" spans="1:9" x14ac:dyDescent="0.15">
      <c r="A34">
        <v>3</v>
      </c>
      <c r="B34" t="s">
        <v>214</v>
      </c>
      <c r="C34">
        <v>400</v>
      </c>
      <c r="D34" t="s">
        <v>20</v>
      </c>
      <c r="E34" t="s">
        <v>1</v>
      </c>
      <c r="F34" t="s">
        <v>2</v>
      </c>
      <c r="G34" t="s">
        <v>2</v>
      </c>
      <c r="H34">
        <v>32</v>
      </c>
      <c r="I34" t="s">
        <v>215</v>
      </c>
    </row>
    <row r="35" spans="1:9" x14ac:dyDescent="0.15">
      <c r="A35">
        <v>4</v>
      </c>
      <c r="B35" t="s">
        <v>216</v>
      </c>
      <c r="C35">
        <v>200</v>
      </c>
      <c r="D35" t="s">
        <v>20</v>
      </c>
      <c r="E35" t="s">
        <v>20</v>
      </c>
      <c r="F35" t="s">
        <v>2</v>
      </c>
      <c r="G35" t="s">
        <v>20</v>
      </c>
      <c r="H35">
        <v>12</v>
      </c>
      <c r="I35" t="s">
        <v>217</v>
      </c>
    </row>
    <row r="36" spans="1:9" x14ac:dyDescent="0.15">
      <c r="A36">
        <v>5</v>
      </c>
      <c r="B36" t="s">
        <v>218</v>
      </c>
      <c r="C36">
        <v>320</v>
      </c>
      <c r="D36" t="s">
        <v>20</v>
      </c>
      <c r="E36" t="s">
        <v>20</v>
      </c>
      <c r="F36" t="s">
        <v>2</v>
      </c>
      <c r="G36" t="s">
        <v>2</v>
      </c>
      <c r="H36">
        <v>20</v>
      </c>
      <c r="I36" t="s">
        <v>219</v>
      </c>
    </row>
    <row r="37" spans="1:9" x14ac:dyDescent="0.15">
      <c r="A37">
        <v>6</v>
      </c>
      <c r="B37" t="s">
        <v>220</v>
      </c>
      <c r="C37">
        <v>320</v>
      </c>
      <c r="D37" t="s">
        <v>20</v>
      </c>
      <c r="E37" t="s">
        <v>20</v>
      </c>
      <c r="F37" t="s">
        <v>2</v>
      </c>
      <c r="G37" t="s">
        <v>2</v>
      </c>
      <c r="H37">
        <v>20</v>
      </c>
      <c r="I37" t="s">
        <v>219</v>
      </c>
    </row>
    <row r="38" spans="1:9" x14ac:dyDescent="0.15">
      <c r="A38">
        <v>7</v>
      </c>
      <c r="B38" t="s">
        <v>221</v>
      </c>
      <c r="C38">
        <v>120</v>
      </c>
      <c r="D38" t="s">
        <v>20</v>
      </c>
      <c r="E38" t="s">
        <v>20</v>
      </c>
      <c r="F38" t="s">
        <v>2</v>
      </c>
      <c r="G38" t="s">
        <v>2</v>
      </c>
      <c r="H38">
        <v>20</v>
      </c>
      <c r="I38" t="s">
        <v>222</v>
      </c>
    </row>
    <row r="39" spans="1:9" x14ac:dyDescent="0.15">
      <c r="A39">
        <v>8</v>
      </c>
      <c r="B39" t="s">
        <v>223</v>
      </c>
      <c r="C39">
        <v>400</v>
      </c>
      <c r="D39" t="s">
        <v>20</v>
      </c>
      <c r="E39" t="s">
        <v>1</v>
      </c>
      <c r="F39" t="s">
        <v>2</v>
      </c>
      <c r="G39" t="s">
        <v>20</v>
      </c>
      <c r="H39">
        <v>28</v>
      </c>
      <c r="I39" t="s">
        <v>224</v>
      </c>
    </row>
    <row r="40" spans="1:9" ht="15.75" customHeight="1" x14ac:dyDescent="0.15">
      <c r="A40">
        <v>9</v>
      </c>
      <c r="B40" t="s">
        <v>225</v>
      </c>
      <c r="C40">
        <v>200</v>
      </c>
      <c r="D40" t="s">
        <v>2</v>
      </c>
      <c r="E40" t="s">
        <v>1</v>
      </c>
      <c r="F40" t="s">
        <v>1</v>
      </c>
      <c r="G40" t="s">
        <v>2</v>
      </c>
      <c r="H40">
        <v>9</v>
      </c>
      <c r="I40" t="s">
        <v>226</v>
      </c>
    </row>
    <row r="41" spans="1:9" x14ac:dyDescent="0.15">
      <c r="A41">
        <v>1</v>
      </c>
      <c r="B41" t="s">
        <v>227</v>
      </c>
      <c r="C41">
        <v>400</v>
      </c>
      <c r="D41" t="s">
        <v>2</v>
      </c>
      <c r="E41" t="s">
        <v>1</v>
      </c>
      <c r="F41" t="s">
        <v>1</v>
      </c>
      <c r="G41" t="s">
        <v>1</v>
      </c>
      <c r="H41">
        <v>25</v>
      </c>
      <c r="I41" t="s">
        <v>228</v>
      </c>
    </row>
    <row r="42" spans="1:9" x14ac:dyDescent="0.15">
      <c r="A42">
        <v>2</v>
      </c>
      <c r="B42" t="s">
        <v>229</v>
      </c>
      <c r="C42">
        <v>550</v>
      </c>
      <c r="D42" t="s">
        <v>2</v>
      </c>
      <c r="E42" t="s">
        <v>1</v>
      </c>
      <c r="F42" t="s">
        <v>1</v>
      </c>
      <c r="G42" t="s">
        <v>1</v>
      </c>
      <c r="H42">
        <v>37</v>
      </c>
      <c r="I42" t="s">
        <v>230</v>
      </c>
    </row>
    <row r="43" spans="1:9" x14ac:dyDescent="0.15">
      <c r="A43">
        <v>3</v>
      </c>
      <c r="B43" t="s">
        <v>231</v>
      </c>
      <c r="C43">
        <v>400</v>
      </c>
      <c r="D43" t="s">
        <v>20</v>
      </c>
      <c r="E43" t="s">
        <v>1</v>
      </c>
      <c r="F43" t="s">
        <v>2</v>
      </c>
      <c r="G43" t="s">
        <v>20</v>
      </c>
      <c r="H43">
        <v>10</v>
      </c>
      <c r="I43" t="s">
        <v>232</v>
      </c>
    </row>
    <row r="44" spans="1:9" x14ac:dyDescent="0.15">
      <c r="A44">
        <v>4</v>
      </c>
      <c r="B44" t="s">
        <v>233</v>
      </c>
      <c r="C44">
        <v>250</v>
      </c>
      <c r="D44" t="s">
        <v>2</v>
      </c>
      <c r="E44" t="s">
        <v>1</v>
      </c>
      <c r="F44" t="s">
        <v>2</v>
      </c>
      <c r="G44" t="s">
        <v>20</v>
      </c>
      <c r="H44">
        <v>11</v>
      </c>
      <c r="I44" t="s">
        <v>234</v>
      </c>
    </row>
    <row r="45" spans="1:9" x14ac:dyDescent="0.15">
      <c r="A45">
        <v>5</v>
      </c>
      <c r="B45" t="s">
        <v>235</v>
      </c>
      <c r="C45">
        <v>320</v>
      </c>
      <c r="D45" t="s">
        <v>2</v>
      </c>
      <c r="E45" t="s">
        <v>1</v>
      </c>
      <c r="F45" t="s">
        <v>1</v>
      </c>
      <c r="G45" t="s">
        <v>1</v>
      </c>
      <c r="H45">
        <v>15</v>
      </c>
      <c r="I45" t="s">
        <v>236</v>
      </c>
    </row>
    <row r="46" spans="1:9" x14ac:dyDescent="0.15">
      <c r="A46">
        <v>6</v>
      </c>
      <c r="B46" t="s">
        <v>237</v>
      </c>
      <c r="C46">
        <v>250</v>
      </c>
      <c r="D46" t="s">
        <v>2</v>
      </c>
      <c r="E46" t="s">
        <v>1</v>
      </c>
      <c r="F46" t="s">
        <v>1</v>
      </c>
      <c r="G46" t="s">
        <v>1</v>
      </c>
      <c r="H46">
        <v>9</v>
      </c>
      <c r="I46" t="s">
        <v>236</v>
      </c>
    </row>
    <row r="47" spans="1:9" x14ac:dyDescent="0.15">
      <c r="A47">
        <v>1</v>
      </c>
      <c r="B47" t="s">
        <v>238</v>
      </c>
      <c r="C47">
        <v>80</v>
      </c>
      <c r="D47" t="s">
        <v>2</v>
      </c>
      <c r="E47" t="s">
        <v>1</v>
      </c>
      <c r="F47" t="s">
        <v>1</v>
      </c>
      <c r="G47" t="s">
        <v>2</v>
      </c>
      <c r="H47">
        <v>2</v>
      </c>
      <c r="I47" t="s">
        <v>239</v>
      </c>
    </row>
    <row r="48" spans="1:9" x14ac:dyDescent="0.15">
      <c r="A48">
        <v>2</v>
      </c>
      <c r="B48" t="s">
        <v>240</v>
      </c>
      <c r="C48">
        <v>90</v>
      </c>
      <c r="D48" t="s">
        <v>2</v>
      </c>
      <c r="E48" t="s">
        <v>20</v>
      </c>
      <c r="F48" t="s">
        <v>2</v>
      </c>
      <c r="G48" t="s">
        <v>2</v>
      </c>
      <c r="H48">
        <v>4</v>
      </c>
      <c r="I48" t="s">
        <v>241</v>
      </c>
    </row>
    <row r="49" spans="1:9" x14ac:dyDescent="0.15">
      <c r="A49">
        <v>3</v>
      </c>
      <c r="B49" t="s">
        <v>242</v>
      </c>
      <c r="C49">
        <v>290</v>
      </c>
      <c r="D49" t="s">
        <v>2</v>
      </c>
      <c r="E49" t="s">
        <v>1</v>
      </c>
      <c r="F49" t="s">
        <v>20</v>
      </c>
      <c r="G49" t="s">
        <v>2</v>
      </c>
      <c r="H49">
        <v>20</v>
      </c>
      <c r="I49" t="s">
        <v>243</v>
      </c>
    </row>
    <row r="50" spans="1:9" x14ac:dyDescent="0.15">
      <c r="A50">
        <v>4</v>
      </c>
      <c r="B50" t="s">
        <v>244</v>
      </c>
      <c r="C50">
        <v>280</v>
      </c>
      <c r="D50" t="s">
        <v>2</v>
      </c>
      <c r="E50" t="s">
        <v>1</v>
      </c>
      <c r="F50" t="s">
        <v>2</v>
      </c>
      <c r="G50" t="s">
        <v>2</v>
      </c>
      <c r="H50">
        <v>18</v>
      </c>
      <c r="I50" t="s">
        <v>245</v>
      </c>
    </row>
    <row r="51" spans="1:9" x14ac:dyDescent="0.15">
      <c r="A51">
        <v>5</v>
      </c>
      <c r="B51" t="s">
        <v>246</v>
      </c>
      <c r="C51">
        <v>150</v>
      </c>
      <c r="D51" t="s">
        <v>2</v>
      </c>
      <c r="E51" t="s">
        <v>1</v>
      </c>
      <c r="F51" t="s">
        <v>2</v>
      </c>
      <c r="G51" t="s">
        <v>2</v>
      </c>
      <c r="H51">
        <v>3</v>
      </c>
      <c r="I51" t="s">
        <v>247</v>
      </c>
    </row>
    <row r="52" spans="1:9" x14ac:dyDescent="0.15">
      <c r="A52">
        <v>6</v>
      </c>
      <c r="B52" t="s">
        <v>248</v>
      </c>
      <c r="C52">
        <v>200</v>
      </c>
      <c r="D52" t="s">
        <v>2</v>
      </c>
      <c r="E52" t="s">
        <v>1</v>
      </c>
      <c r="F52" t="s">
        <v>2</v>
      </c>
      <c r="G52" t="s">
        <v>2</v>
      </c>
      <c r="H52">
        <v>18</v>
      </c>
      <c r="I52" t="s">
        <v>249</v>
      </c>
    </row>
    <row r="53" spans="1:9" x14ac:dyDescent="0.15">
      <c r="A53">
        <v>7</v>
      </c>
      <c r="B53" t="s">
        <v>250</v>
      </c>
      <c r="C53">
        <v>120</v>
      </c>
      <c r="D53" t="s">
        <v>2</v>
      </c>
      <c r="E53" t="s">
        <v>1</v>
      </c>
      <c r="F53" t="s">
        <v>2</v>
      </c>
      <c r="G53" t="s">
        <v>2</v>
      </c>
      <c r="H53">
        <v>2</v>
      </c>
      <c r="I53" t="s">
        <v>247</v>
      </c>
    </row>
    <row r="54" spans="1:9" x14ac:dyDescent="0.15">
      <c r="A54">
        <v>1</v>
      </c>
      <c r="B54" t="s">
        <v>251</v>
      </c>
      <c r="C54">
        <v>50</v>
      </c>
      <c r="D54" t="s">
        <v>2</v>
      </c>
      <c r="E54" t="s">
        <v>20</v>
      </c>
      <c r="F54" t="s">
        <v>2</v>
      </c>
      <c r="G54" t="s">
        <v>2</v>
      </c>
      <c r="H54">
        <v>0.2</v>
      </c>
      <c r="I54" t="s">
        <v>252</v>
      </c>
    </row>
    <row r="55" spans="1:9" x14ac:dyDescent="0.15">
      <c r="A55">
        <v>2</v>
      </c>
      <c r="B55" t="s">
        <v>253</v>
      </c>
      <c r="C55">
        <v>50</v>
      </c>
      <c r="D55" t="s">
        <v>2</v>
      </c>
      <c r="E55" t="s">
        <v>20</v>
      </c>
      <c r="F55" t="s">
        <v>2</v>
      </c>
      <c r="G55" t="s">
        <v>2</v>
      </c>
      <c r="H55">
        <v>10</v>
      </c>
      <c r="I55" t="s">
        <v>254</v>
      </c>
    </row>
    <row r="56" spans="1:9" x14ac:dyDescent="0.15">
      <c r="A56">
        <v>3</v>
      </c>
      <c r="B56" t="s">
        <v>255</v>
      </c>
      <c r="C56">
        <v>100</v>
      </c>
      <c r="D56" t="s">
        <v>2</v>
      </c>
      <c r="E56" t="s">
        <v>20</v>
      </c>
      <c r="F56" t="s">
        <v>2</v>
      </c>
      <c r="G56" t="s">
        <v>2</v>
      </c>
      <c r="H56">
        <v>7</v>
      </c>
      <c r="I56" t="s">
        <v>256</v>
      </c>
    </row>
    <row r="57" spans="1:9" x14ac:dyDescent="0.15">
      <c r="A57">
        <v>4</v>
      </c>
      <c r="B57" t="s">
        <v>257</v>
      </c>
      <c r="C57">
        <v>50</v>
      </c>
      <c r="D57" t="s">
        <v>2</v>
      </c>
      <c r="E57" t="s">
        <v>20</v>
      </c>
      <c r="F57" t="s">
        <v>2</v>
      </c>
      <c r="G57" t="s">
        <v>2</v>
      </c>
      <c r="H57">
        <v>2</v>
      </c>
      <c r="I57" t="s">
        <v>252</v>
      </c>
    </row>
    <row r="58" spans="1:9" x14ac:dyDescent="0.15">
      <c r="A58">
        <v>5</v>
      </c>
      <c r="B58" t="s">
        <v>258</v>
      </c>
      <c r="C58">
        <v>20</v>
      </c>
      <c r="D58" t="s">
        <v>2</v>
      </c>
      <c r="E58" t="s">
        <v>20</v>
      </c>
      <c r="F58" t="s">
        <v>2</v>
      </c>
      <c r="G58" t="s">
        <v>2</v>
      </c>
      <c r="H58">
        <v>0.3</v>
      </c>
      <c r="I58" t="s">
        <v>247</v>
      </c>
    </row>
    <row r="59" spans="1:9" x14ac:dyDescent="0.15">
      <c r="A59">
        <v>6</v>
      </c>
      <c r="B59" t="s">
        <v>259</v>
      </c>
      <c r="C59">
        <v>40</v>
      </c>
      <c r="D59" t="s">
        <v>2</v>
      </c>
      <c r="E59" t="s">
        <v>20</v>
      </c>
      <c r="F59" t="s">
        <v>2</v>
      </c>
      <c r="G59" t="s">
        <v>2</v>
      </c>
      <c r="H59">
        <v>1</v>
      </c>
      <c r="I59" t="s">
        <v>252</v>
      </c>
    </row>
    <row r="60" spans="1:9" x14ac:dyDescent="0.15">
      <c r="A60">
        <v>7</v>
      </c>
      <c r="B60" t="s">
        <v>260</v>
      </c>
      <c r="C60">
        <v>90</v>
      </c>
      <c r="D60" t="s">
        <v>2</v>
      </c>
      <c r="E60" t="s">
        <v>1</v>
      </c>
      <c r="F60" t="s">
        <v>2</v>
      </c>
      <c r="G60" t="s">
        <v>2</v>
      </c>
      <c r="H60">
        <v>5</v>
      </c>
      <c r="I60" t="s">
        <v>252</v>
      </c>
    </row>
    <row r="61" spans="1:9" x14ac:dyDescent="0.15">
      <c r="A61">
        <v>8</v>
      </c>
      <c r="B61" t="s">
        <v>261</v>
      </c>
      <c r="C61">
        <v>90</v>
      </c>
      <c r="D61" t="s">
        <v>2</v>
      </c>
      <c r="E61" t="s">
        <v>1</v>
      </c>
      <c r="F61" t="s">
        <v>2</v>
      </c>
      <c r="G61" t="s">
        <v>2</v>
      </c>
      <c r="H61">
        <v>2</v>
      </c>
      <c r="I61" t="s">
        <v>262</v>
      </c>
    </row>
    <row r="62" spans="1:9" x14ac:dyDescent="0.15">
      <c r="A62">
        <v>1</v>
      </c>
      <c r="B62" t="s">
        <v>263</v>
      </c>
      <c r="C62">
        <v>150</v>
      </c>
      <c r="D62" t="s">
        <v>2</v>
      </c>
      <c r="E62" t="s">
        <v>1</v>
      </c>
      <c r="F62" t="s">
        <v>2</v>
      </c>
      <c r="G62" t="s">
        <v>2</v>
      </c>
      <c r="H62">
        <v>22</v>
      </c>
      <c r="I62" t="s">
        <v>264</v>
      </c>
    </row>
    <row r="63" spans="1:9" x14ac:dyDescent="0.15">
      <c r="A63">
        <v>2</v>
      </c>
      <c r="B63" t="s">
        <v>265</v>
      </c>
      <c r="C63">
        <v>350</v>
      </c>
      <c r="D63" t="s">
        <v>2</v>
      </c>
      <c r="E63" t="s">
        <v>1</v>
      </c>
      <c r="F63" t="s">
        <v>2</v>
      </c>
      <c r="G63" t="s">
        <v>20</v>
      </c>
      <c r="H63">
        <v>28</v>
      </c>
      <c r="I63" t="s">
        <v>266</v>
      </c>
    </row>
    <row r="64" spans="1:9" x14ac:dyDescent="0.15">
      <c r="A64">
        <v>3</v>
      </c>
      <c r="B64" t="s">
        <v>267</v>
      </c>
      <c r="C64">
        <v>100</v>
      </c>
      <c r="D64" t="s">
        <v>2</v>
      </c>
      <c r="E64" t="s">
        <v>20</v>
      </c>
      <c r="F64" t="s">
        <v>2</v>
      </c>
      <c r="G64" t="s">
        <v>2</v>
      </c>
      <c r="H64">
        <v>8</v>
      </c>
      <c r="I64" t="s">
        <v>268</v>
      </c>
    </row>
    <row r="65" spans="1:9" x14ac:dyDescent="0.15">
      <c r="A65">
        <v>4</v>
      </c>
      <c r="B65" t="s">
        <v>263</v>
      </c>
      <c r="C65">
        <v>130</v>
      </c>
      <c r="D65" t="s">
        <v>2</v>
      </c>
      <c r="E65" t="s">
        <v>20</v>
      </c>
      <c r="F65" t="s">
        <v>2</v>
      </c>
      <c r="G65" t="s">
        <v>2</v>
      </c>
      <c r="H65">
        <v>11</v>
      </c>
      <c r="I65" t="s">
        <v>269</v>
      </c>
    </row>
    <row r="66" spans="1:9" x14ac:dyDescent="0.15">
      <c r="A66">
        <v>5</v>
      </c>
      <c r="B66" t="s">
        <v>270</v>
      </c>
      <c r="C66">
        <v>220</v>
      </c>
      <c r="D66" t="s">
        <v>2</v>
      </c>
      <c r="E66" t="s">
        <v>1</v>
      </c>
      <c r="F66" t="s">
        <v>2</v>
      </c>
      <c r="G66" t="s">
        <v>2</v>
      </c>
      <c r="H66">
        <v>17</v>
      </c>
      <c r="I66" t="s">
        <v>252</v>
      </c>
    </row>
    <row r="67" spans="1:9" x14ac:dyDescent="0.15">
      <c r="A67">
        <v>6</v>
      </c>
      <c r="B67" t="s">
        <v>271</v>
      </c>
      <c r="C67">
        <v>280</v>
      </c>
      <c r="D67" t="s">
        <v>2</v>
      </c>
      <c r="E67" t="s">
        <v>20</v>
      </c>
      <c r="F67" t="s">
        <v>2</v>
      </c>
      <c r="G67" t="s">
        <v>2</v>
      </c>
      <c r="H67">
        <v>25</v>
      </c>
      <c r="I67" t="s">
        <v>269</v>
      </c>
    </row>
    <row r="68" spans="1:9" x14ac:dyDescent="0.15">
      <c r="A68">
        <v>7</v>
      </c>
      <c r="B68" t="s">
        <v>272</v>
      </c>
      <c r="C68">
        <v>130</v>
      </c>
      <c r="D68" t="s">
        <v>2</v>
      </c>
      <c r="E68" t="s">
        <v>1</v>
      </c>
      <c r="F68" t="s">
        <v>2</v>
      </c>
      <c r="G68" t="s">
        <v>2</v>
      </c>
      <c r="H68">
        <v>10</v>
      </c>
      <c r="I68" t="s">
        <v>273</v>
      </c>
    </row>
    <row r="69" spans="1:9" x14ac:dyDescent="0.15">
      <c r="A69">
        <v>8</v>
      </c>
      <c r="B69" t="s">
        <v>274</v>
      </c>
      <c r="C69">
        <v>90</v>
      </c>
      <c r="D69" t="s">
        <v>2</v>
      </c>
      <c r="E69" t="s">
        <v>20</v>
      </c>
      <c r="F69" t="s">
        <v>20</v>
      </c>
      <c r="G69" t="s">
        <v>2</v>
      </c>
      <c r="H69">
        <v>5</v>
      </c>
      <c r="I69" t="s">
        <v>275</v>
      </c>
    </row>
    <row r="70" spans="1:9" x14ac:dyDescent="0.15">
      <c r="A70">
        <v>9</v>
      </c>
      <c r="B70" t="s">
        <v>276</v>
      </c>
      <c r="C70">
        <v>180</v>
      </c>
      <c r="D70" t="s">
        <v>2</v>
      </c>
      <c r="E70" t="s">
        <v>20</v>
      </c>
      <c r="F70" t="s">
        <v>20</v>
      </c>
      <c r="G70" t="s">
        <v>2</v>
      </c>
      <c r="H70">
        <v>10</v>
      </c>
      <c r="I70" t="s">
        <v>277</v>
      </c>
    </row>
    <row r="71" spans="1:9" x14ac:dyDescent="0.15">
      <c r="A71">
        <v>10</v>
      </c>
      <c r="B71" t="s">
        <v>278</v>
      </c>
      <c r="C71">
        <v>250</v>
      </c>
      <c r="D71" t="s">
        <v>2</v>
      </c>
      <c r="E71" t="s">
        <v>20</v>
      </c>
      <c r="F71" t="s">
        <v>20</v>
      </c>
      <c r="G71" t="s">
        <v>2</v>
      </c>
      <c r="H71">
        <v>17</v>
      </c>
      <c r="I71" t="s">
        <v>277</v>
      </c>
    </row>
    <row r="72" spans="1:9" x14ac:dyDescent="0.15">
      <c r="A72">
        <v>11</v>
      </c>
      <c r="B72" t="s">
        <v>279</v>
      </c>
      <c r="C72">
        <v>90</v>
      </c>
      <c r="D72" t="s">
        <v>2</v>
      </c>
      <c r="E72" t="s">
        <v>20</v>
      </c>
      <c r="F72" t="s">
        <v>2</v>
      </c>
      <c r="G72" t="s">
        <v>2</v>
      </c>
      <c r="H72">
        <v>5</v>
      </c>
      <c r="I72" t="s">
        <v>280</v>
      </c>
    </row>
    <row r="73" spans="1:9" x14ac:dyDescent="0.15">
      <c r="A73">
        <v>12</v>
      </c>
      <c r="B73" t="s">
        <v>281</v>
      </c>
      <c r="C73">
        <v>50</v>
      </c>
      <c r="D73" t="s">
        <v>2</v>
      </c>
      <c r="E73" t="s">
        <v>20</v>
      </c>
      <c r="F73" t="s">
        <v>2</v>
      </c>
      <c r="G73" t="s">
        <v>2</v>
      </c>
      <c r="H73">
        <v>3</v>
      </c>
      <c r="I73" t="s">
        <v>282</v>
      </c>
    </row>
    <row r="74" spans="1:9" x14ac:dyDescent="0.15">
      <c r="A74">
        <v>13</v>
      </c>
      <c r="B74" t="s">
        <v>283</v>
      </c>
      <c r="C74">
        <v>475</v>
      </c>
      <c r="D74" t="s">
        <v>1</v>
      </c>
      <c r="E74" t="s">
        <v>20</v>
      </c>
      <c r="F74" t="s">
        <v>20</v>
      </c>
      <c r="G74" t="s">
        <v>20</v>
      </c>
      <c r="H74">
        <v>20</v>
      </c>
      <c r="I74" t="s">
        <v>284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4"/>
  <sheetViews>
    <sheetView workbookViewId="0">
      <selection activeCell="C2" sqref="C2"/>
    </sheetView>
  </sheetViews>
  <sheetFormatPr defaultRowHeight="13.5" x14ac:dyDescent="0.15"/>
  <sheetData>
    <row r="1" spans="1:9" x14ac:dyDescent="0.15">
      <c r="B1" t="s">
        <v>439</v>
      </c>
      <c r="C1">
        <v>0</v>
      </c>
    </row>
    <row r="2" spans="1:9" x14ac:dyDescent="0.15">
      <c r="A2">
        <v>1</v>
      </c>
      <c r="B2" t="s">
        <v>285</v>
      </c>
      <c r="C2">
        <v>12</v>
      </c>
      <c r="D2" t="s">
        <v>2</v>
      </c>
      <c r="E2" t="s">
        <v>2</v>
      </c>
      <c r="F2" t="s">
        <v>2</v>
      </c>
      <c r="G2" t="s">
        <v>20</v>
      </c>
      <c r="H2">
        <v>4</v>
      </c>
      <c r="I2" t="s">
        <v>286</v>
      </c>
    </row>
    <row r="3" spans="1:9" x14ac:dyDescent="0.15">
      <c r="A3">
        <v>2</v>
      </c>
      <c r="B3" t="s">
        <v>287</v>
      </c>
      <c r="C3">
        <v>15</v>
      </c>
      <c r="D3" t="s">
        <v>2</v>
      </c>
      <c r="E3" t="s">
        <v>2</v>
      </c>
      <c r="F3" t="s">
        <v>2</v>
      </c>
      <c r="G3" t="s">
        <v>20</v>
      </c>
      <c r="H3">
        <v>0</v>
      </c>
      <c r="I3" t="s">
        <v>288</v>
      </c>
    </row>
    <row r="4" spans="1:9" x14ac:dyDescent="0.15">
      <c r="A4">
        <v>3</v>
      </c>
      <c r="B4" t="s">
        <v>289</v>
      </c>
      <c r="C4">
        <v>55</v>
      </c>
      <c r="D4" t="s">
        <v>2</v>
      </c>
      <c r="E4" t="s">
        <v>2</v>
      </c>
      <c r="F4" t="s">
        <v>2</v>
      </c>
      <c r="G4" t="s">
        <v>1</v>
      </c>
      <c r="H4">
        <v>6</v>
      </c>
      <c r="I4" t="s">
        <v>290</v>
      </c>
    </row>
    <row r="5" spans="1:9" x14ac:dyDescent="0.15">
      <c r="A5">
        <v>4</v>
      </c>
      <c r="B5" t="s">
        <v>291</v>
      </c>
      <c r="C5">
        <v>75</v>
      </c>
      <c r="D5" t="s">
        <v>2</v>
      </c>
      <c r="E5" t="s">
        <v>2</v>
      </c>
      <c r="F5" t="s">
        <v>2</v>
      </c>
      <c r="G5" t="s">
        <v>1</v>
      </c>
      <c r="H5">
        <v>6</v>
      </c>
      <c r="I5" t="s">
        <v>290</v>
      </c>
    </row>
    <row r="6" spans="1:9" x14ac:dyDescent="0.15">
      <c r="A6">
        <v>5</v>
      </c>
      <c r="B6" t="s">
        <v>292</v>
      </c>
      <c r="C6">
        <v>115</v>
      </c>
      <c r="D6" t="s">
        <v>2</v>
      </c>
      <c r="E6" t="s">
        <v>2</v>
      </c>
      <c r="F6" t="s">
        <v>2</v>
      </c>
      <c r="G6" t="s">
        <v>1</v>
      </c>
      <c r="H6">
        <v>7</v>
      </c>
      <c r="I6" t="s">
        <v>293</v>
      </c>
    </row>
    <row r="7" spans="1:9" x14ac:dyDescent="0.15">
      <c r="A7">
        <v>6</v>
      </c>
      <c r="B7" t="s">
        <v>294</v>
      </c>
      <c r="C7">
        <v>100</v>
      </c>
      <c r="D7" t="s">
        <v>20</v>
      </c>
      <c r="E7" t="s">
        <v>2</v>
      </c>
      <c r="F7" t="s">
        <v>2</v>
      </c>
      <c r="G7" t="s">
        <v>1</v>
      </c>
      <c r="H7">
        <v>10</v>
      </c>
      <c r="I7" t="s">
        <v>290</v>
      </c>
    </row>
    <row r="8" spans="1:9" x14ac:dyDescent="0.15">
      <c r="A8">
        <v>7</v>
      </c>
      <c r="B8" t="s">
        <v>295</v>
      </c>
      <c r="C8">
        <v>100</v>
      </c>
      <c r="D8" t="s">
        <v>20</v>
      </c>
      <c r="E8" t="s">
        <v>2</v>
      </c>
      <c r="F8" t="s">
        <v>2</v>
      </c>
      <c r="G8" t="s">
        <v>1</v>
      </c>
      <c r="H8">
        <v>10</v>
      </c>
      <c r="I8" t="s">
        <v>290</v>
      </c>
    </row>
    <row r="9" spans="1:9" x14ac:dyDescent="0.15">
      <c r="A9">
        <v>8</v>
      </c>
      <c r="B9" t="s">
        <v>296</v>
      </c>
      <c r="C9">
        <v>140</v>
      </c>
      <c r="D9" t="s">
        <v>2</v>
      </c>
      <c r="E9" t="s">
        <v>2</v>
      </c>
      <c r="F9" t="s">
        <v>2</v>
      </c>
      <c r="G9" t="s">
        <v>1</v>
      </c>
      <c r="H9">
        <v>15</v>
      </c>
      <c r="I9" t="s">
        <v>297</v>
      </c>
    </row>
    <row r="10" spans="1:9" x14ac:dyDescent="0.15">
      <c r="A10">
        <v>9</v>
      </c>
      <c r="B10" t="s">
        <v>298</v>
      </c>
      <c r="C10">
        <v>145</v>
      </c>
      <c r="D10" t="s">
        <v>2</v>
      </c>
      <c r="E10" t="s">
        <v>20</v>
      </c>
      <c r="F10" t="s">
        <v>2</v>
      </c>
      <c r="G10" t="s">
        <v>1</v>
      </c>
      <c r="H10">
        <v>10</v>
      </c>
      <c r="I10" t="s">
        <v>299</v>
      </c>
    </row>
    <row r="11" spans="1:9" x14ac:dyDescent="0.15">
      <c r="A11">
        <v>10</v>
      </c>
      <c r="B11" t="s">
        <v>300</v>
      </c>
      <c r="C11">
        <v>165</v>
      </c>
      <c r="D11" t="s">
        <v>2</v>
      </c>
      <c r="E11" t="s">
        <v>20</v>
      </c>
      <c r="F11" t="s">
        <v>2</v>
      </c>
      <c r="G11" t="s">
        <v>1</v>
      </c>
      <c r="H11">
        <v>12</v>
      </c>
      <c r="I11" t="s">
        <v>301</v>
      </c>
    </row>
    <row r="12" spans="1:9" x14ac:dyDescent="0.15">
      <c r="A12">
        <v>11</v>
      </c>
      <c r="B12" t="s">
        <v>302</v>
      </c>
      <c r="C12">
        <v>190</v>
      </c>
      <c r="D12" t="s">
        <v>20</v>
      </c>
      <c r="E12" t="s">
        <v>2</v>
      </c>
      <c r="F12" t="s">
        <v>2</v>
      </c>
      <c r="G12" t="s">
        <v>20</v>
      </c>
      <c r="H12">
        <v>12</v>
      </c>
      <c r="I12" t="s">
        <v>303</v>
      </c>
    </row>
    <row r="13" spans="1:9" x14ac:dyDescent="0.15">
      <c r="A13">
        <v>12</v>
      </c>
      <c r="B13" t="s">
        <v>304</v>
      </c>
      <c r="C13">
        <v>290</v>
      </c>
      <c r="D13" t="s">
        <v>20</v>
      </c>
      <c r="E13" t="s">
        <v>20</v>
      </c>
      <c r="F13" t="s">
        <v>2</v>
      </c>
      <c r="G13" t="s">
        <v>20</v>
      </c>
      <c r="H13">
        <v>14</v>
      </c>
      <c r="I13" t="s">
        <v>305</v>
      </c>
    </row>
    <row r="14" spans="1:9" x14ac:dyDescent="0.15">
      <c r="A14">
        <v>1</v>
      </c>
      <c r="B14" t="s">
        <v>306</v>
      </c>
      <c r="C14">
        <v>15</v>
      </c>
      <c r="D14" t="s">
        <v>2</v>
      </c>
      <c r="E14" t="s">
        <v>2</v>
      </c>
      <c r="F14" t="s">
        <v>2</v>
      </c>
      <c r="G14" t="s">
        <v>1</v>
      </c>
      <c r="H14">
        <v>0</v>
      </c>
      <c r="I14" t="s">
        <v>307</v>
      </c>
    </row>
    <row r="15" spans="1:9" x14ac:dyDescent="0.15">
      <c r="A15">
        <v>2</v>
      </c>
      <c r="B15" t="s">
        <v>308</v>
      </c>
      <c r="C15">
        <v>25</v>
      </c>
      <c r="D15" t="s">
        <v>2</v>
      </c>
      <c r="E15" t="s">
        <v>2</v>
      </c>
      <c r="F15" t="s">
        <v>2</v>
      </c>
      <c r="G15" t="s">
        <v>1</v>
      </c>
      <c r="H15">
        <v>0</v>
      </c>
      <c r="I15" t="s">
        <v>307</v>
      </c>
    </row>
    <row r="16" spans="1:9" x14ac:dyDescent="0.15">
      <c r="A16">
        <v>3</v>
      </c>
      <c r="B16" t="s">
        <v>309</v>
      </c>
      <c r="C16">
        <v>30</v>
      </c>
      <c r="D16" t="s">
        <v>2</v>
      </c>
      <c r="E16" t="s">
        <v>2</v>
      </c>
      <c r="F16" t="s">
        <v>2</v>
      </c>
      <c r="G16" t="s">
        <v>1</v>
      </c>
      <c r="H16">
        <v>0</v>
      </c>
      <c r="I16" t="s">
        <v>310</v>
      </c>
    </row>
    <row r="17" spans="1:9" x14ac:dyDescent="0.15">
      <c r="A17">
        <v>4</v>
      </c>
      <c r="B17" t="s">
        <v>311</v>
      </c>
      <c r="C17">
        <v>80</v>
      </c>
      <c r="D17" t="s">
        <v>2</v>
      </c>
      <c r="E17" t="s">
        <v>2</v>
      </c>
      <c r="F17" t="s">
        <v>1</v>
      </c>
      <c r="G17" t="s">
        <v>1</v>
      </c>
      <c r="H17">
        <v>3</v>
      </c>
      <c r="I17" t="s">
        <v>243</v>
      </c>
    </row>
    <row r="18" spans="1:9" x14ac:dyDescent="0.15">
      <c r="A18">
        <v>5</v>
      </c>
      <c r="B18" t="s">
        <v>312</v>
      </c>
      <c r="C18">
        <v>75</v>
      </c>
      <c r="D18" t="s">
        <v>2</v>
      </c>
      <c r="E18" t="s">
        <v>2</v>
      </c>
      <c r="F18" t="s">
        <v>20</v>
      </c>
      <c r="G18" t="s">
        <v>1</v>
      </c>
      <c r="H18">
        <v>3</v>
      </c>
      <c r="I18" t="s">
        <v>313</v>
      </c>
    </row>
    <row r="19" spans="1:9" x14ac:dyDescent="0.15">
      <c r="A19">
        <v>6</v>
      </c>
      <c r="B19" t="s">
        <v>314</v>
      </c>
      <c r="C19">
        <v>90</v>
      </c>
      <c r="D19" t="s">
        <v>2</v>
      </c>
      <c r="E19" t="s">
        <v>2</v>
      </c>
      <c r="F19" t="s">
        <v>2</v>
      </c>
      <c r="G19" t="s">
        <v>1</v>
      </c>
      <c r="H19">
        <v>5</v>
      </c>
      <c r="I19" t="s">
        <v>315</v>
      </c>
    </row>
    <row r="20" spans="1:9" x14ac:dyDescent="0.15">
      <c r="A20">
        <v>1</v>
      </c>
      <c r="B20" t="s">
        <v>316</v>
      </c>
      <c r="C20">
        <v>25</v>
      </c>
      <c r="D20" t="s">
        <v>2</v>
      </c>
      <c r="E20" t="s">
        <v>2</v>
      </c>
      <c r="F20" t="s">
        <v>2</v>
      </c>
      <c r="G20" t="s">
        <v>20</v>
      </c>
      <c r="H20">
        <v>0</v>
      </c>
      <c r="I20" t="s">
        <v>317</v>
      </c>
    </row>
    <row r="21" spans="1:9" x14ac:dyDescent="0.15">
      <c r="A21">
        <v>2</v>
      </c>
      <c r="B21" t="s">
        <v>318</v>
      </c>
      <c r="C21">
        <v>50</v>
      </c>
      <c r="D21" t="s">
        <v>2</v>
      </c>
      <c r="E21" t="s">
        <v>2</v>
      </c>
      <c r="F21" t="s">
        <v>2</v>
      </c>
      <c r="G21" t="s">
        <v>20</v>
      </c>
      <c r="H21">
        <v>0</v>
      </c>
      <c r="I21" t="s">
        <v>319</v>
      </c>
    </row>
    <row r="22" spans="1:9" x14ac:dyDescent="0.15">
      <c r="A22">
        <v>3</v>
      </c>
      <c r="B22" t="s">
        <v>320</v>
      </c>
      <c r="C22">
        <v>50</v>
      </c>
      <c r="D22" t="s">
        <v>2</v>
      </c>
      <c r="E22" t="s">
        <v>2</v>
      </c>
      <c r="F22" t="s">
        <v>2</v>
      </c>
      <c r="G22" t="s">
        <v>20</v>
      </c>
      <c r="H22">
        <v>0</v>
      </c>
      <c r="I22" t="s">
        <v>310</v>
      </c>
    </row>
    <row r="23" spans="1:9" x14ac:dyDescent="0.15">
      <c r="A23">
        <v>4</v>
      </c>
      <c r="B23" t="s">
        <v>321</v>
      </c>
      <c r="C23">
        <v>110</v>
      </c>
      <c r="D23" t="s">
        <v>2</v>
      </c>
      <c r="E23" t="s">
        <v>2</v>
      </c>
      <c r="F23" t="s">
        <v>2</v>
      </c>
      <c r="G23" t="s">
        <v>20</v>
      </c>
      <c r="H23">
        <v>0</v>
      </c>
      <c r="I23" t="s">
        <v>322</v>
      </c>
    </row>
    <row r="24" spans="1:9" x14ac:dyDescent="0.15">
      <c r="A24">
        <v>5</v>
      </c>
      <c r="B24" t="s">
        <v>323</v>
      </c>
      <c r="C24">
        <v>110</v>
      </c>
      <c r="D24" t="s">
        <v>2</v>
      </c>
      <c r="E24" t="s">
        <v>2</v>
      </c>
      <c r="F24" t="s">
        <v>2</v>
      </c>
      <c r="G24" t="s">
        <v>20</v>
      </c>
      <c r="H24">
        <v>0</v>
      </c>
      <c r="I24" t="s">
        <v>322</v>
      </c>
    </row>
    <row r="25" spans="1:9" x14ac:dyDescent="0.15">
      <c r="A25">
        <v>6</v>
      </c>
      <c r="B25" t="s">
        <v>324</v>
      </c>
      <c r="C25">
        <v>50</v>
      </c>
      <c r="D25" t="s">
        <v>2</v>
      </c>
      <c r="E25" t="s">
        <v>2</v>
      </c>
      <c r="F25" t="s">
        <v>2</v>
      </c>
      <c r="G25" t="s">
        <v>1</v>
      </c>
      <c r="H25">
        <v>4</v>
      </c>
      <c r="I25" t="s">
        <v>325</v>
      </c>
    </row>
    <row r="26" spans="1:9" x14ac:dyDescent="0.15">
      <c r="A26">
        <v>7</v>
      </c>
      <c r="B26" t="s">
        <v>326</v>
      </c>
      <c r="C26">
        <v>60</v>
      </c>
      <c r="D26" t="s">
        <v>2</v>
      </c>
      <c r="E26" t="s">
        <v>2</v>
      </c>
      <c r="F26" t="s">
        <v>2</v>
      </c>
      <c r="G26" t="s">
        <v>1</v>
      </c>
      <c r="H26">
        <v>6</v>
      </c>
      <c r="I26" t="s">
        <v>325</v>
      </c>
    </row>
    <row r="27" spans="1:9" x14ac:dyDescent="0.15">
      <c r="A27">
        <v>8</v>
      </c>
      <c r="B27" t="s">
        <v>327</v>
      </c>
      <c r="C27">
        <v>100</v>
      </c>
      <c r="D27" t="s">
        <v>20</v>
      </c>
      <c r="E27" t="s">
        <v>2</v>
      </c>
      <c r="F27" t="s">
        <v>2</v>
      </c>
      <c r="G27" t="s">
        <v>20</v>
      </c>
      <c r="H27">
        <v>4</v>
      </c>
      <c r="I27" t="s">
        <v>322</v>
      </c>
    </row>
    <row r="28" spans="1:9" x14ac:dyDescent="0.15">
      <c r="A28">
        <v>9</v>
      </c>
      <c r="B28" t="s">
        <v>328</v>
      </c>
      <c r="C28">
        <v>230</v>
      </c>
      <c r="D28" t="s">
        <v>20</v>
      </c>
      <c r="E28" t="s">
        <v>2</v>
      </c>
      <c r="F28" t="s">
        <v>2</v>
      </c>
      <c r="G28" t="s">
        <v>20</v>
      </c>
      <c r="H28">
        <v>11</v>
      </c>
      <c r="I28" t="s">
        <v>329</v>
      </c>
    </row>
    <row r="29" spans="1:9" x14ac:dyDescent="0.15">
      <c r="A29">
        <v>10</v>
      </c>
      <c r="B29" t="s">
        <v>330</v>
      </c>
      <c r="C29">
        <v>350</v>
      </c>
      <c r="D29" t="s">
        <v>20</v>
      </c>
      <c r="E29" t="s">
        <v>2</v>
      </c>
      <c r="F29" t="s">
        <v>2</v>
      </c>
      <c r="G29" t="s">
        <v>20</v>
      </c>
      <c r="H29">
        <v>24</v>
      </c>
      <c r="I29" t="s">
        <v>329</v>
      </c>
    </row>
    <row r="30" spans="1:9" x14ac:dyDescent="0.15">
      <c r="A30">
        <v>1</v>
      </c>
      <c r="B30" t="s">
        <v>331</v>
      </c>
      <c r="C30">
        <v>10</v>
      </c>
      <c r="D30" t="s">
        <v>2</v>
      </c>
      <c r="E30" t="s">
        <v>2</v>
      </c>
      <c r="F30" t="s">
        <v>2</v>
      </c>
      <c r="G30" t="s">
        <v>20</v>
      </c>
      <c r="H30">
        <v>0</v>
      </c>
      <c r="I30" t="s">
        <v>288</v>
      </c>
    </row>
    <row r="31" spans="1:9" x14ac:dyDescent="0.15">
      <c r="A31">
        <v>2</v>
      </c>
      <c r="B31" t="s">
        <v>332</v>
      </c>
      <c r="C31">
        <v>10</v>
      </c>
      <c r="D31" t="s">
        <v>2</v>
      </c>
      <c r="E31" t="s">
        <v>2</v>
      </c>
      <c r="F31" t="s">
        <v>2</v>
      </c>
      <c r="G31" t="s">
        <v>20</v>
      </c>
      <c r="H31">
        <v>0</v>
      </c>
      <c r="I31" t="s">
        <v>288</v>
      </c>
    </row>
    <row r="32" spans="1:9" x14ac:dyDescent="0.15">
      <c r="A32">
        <v>3</v>
      </c>
      <c r="B32" t="s">
        <v>333</v>
      </c>
      <c r="C32">
        <v>15</v>
      </c>
      <c r="D32" t="s">
        <v>2</v>
      </c>
      <c r="E32" t="s">
        <v>2</v>
      </c>
      <c r="F32" t="s">
        <v>2</v>
      </c>
      <c r="G32" t="s">
        <v>20</v>
      </c>
      <c r="H32">
        <v>0</v>
      </c>
      <c r="I32" t="s">
        <v>288</v>
      </c>
    </row>
    <row r="33" spans="1:9" x14ac:dyDescent="0.15">
      <c r="A33">
        <v>4</v>
      </c>
      <c r="B33" t="s">
        <v>334</v>
      </c>
      <c r="C33">
        <v>20</v>
      </c>
      <c r="D33" t="s">
        <v>2</v>
      </c>
      <c r="E33" t="s">
        <v>2</v>
      </c>
      <c r="F33" t="s">
        <v>2</v>
      </c>
      <c r="G33" t="s">
        <v>20</v>
      </c>
      <c r="H33">
        <v>0</v>
      </c>
      <c r="I33" t="s">
        <v>288</v>
      </c>
    </row>
    <row r="34" spans="1:9" x14ac:dyDescent="0.15">
      <c r="A34">
        <v>5</v>
      </c>
      <c r="B34" t="s">
        <v>335</v>
      </c>
      <c r="C34">
        <v>25</v>
      </c>
      <c r="D34" t="s">
        <v>2</v>
      </c>
      <c r="E34" t="s">
        <v>2</v>
      </c>
      <c r="F34" t="s">
        <v>2</v>
      </c>
      <c r="G34" t="s">
        <v>20</v>
      </c>
      <c r="H34">
        <v>0</v>
      </c>
      <c r="I34" t="s">
        <v>288</v>
      </c>
    </row>
    <row r="35" spans="1:9" x14ac:dyDescent="0.15">
      <c r="A35">
        <v>6</v>
      </c>
      <c r="B35" t="s">
        <v>336</v>
      </c>
      <c r="C35">
        <v>50</v>
      </c>
      <c r="D35" t="s">
        <v>2</v>
      </c>
      <c r="E35" t="s">
        <v>2</v>
      </c>
      <c r="F35" t="s">
        <v>2</v>
      </c>
      <c r="G35" t="s">
        <v>20</v>
      </c>
      <c r="H35">
        <v>0</v>
      </c>
      <c r="I35" t="s">
        <v>288</v>
      </c>
    </row>
    <row r="36" spans="1:9" x14ac:dyDescent="0.15">
      <c r="A36">
        <v>7</v>
      </c>
      <c r="B36" t="s">
        <v>337</v>
      </c>
      <c r="C36">
        <v>70</v>
      </c>
      <c r="D36" t="s">
        <v>2</v>
      </c>
      <c r="E36" t="s">
        <v>2</v>
      </c>
      <c r="F36" t="s">
        <v>2</v>
      </c>
      <c r="G36" t="s">
        <v>20</v>
      </c>
      <c r="H36">
        <v>0</v>
      </c>
      <c r="I36" t="s">
        <v>288</v>
      </c>
    </row>
    <row r="37" spans="1:9" x14ac:dyDescent="0.15">
      <c r="A37">
        <v>1</v>
      </c>
      <c r="B37" t="s">
        <v>338</v>
      </c>
      <c r="C37">
        <v>15</v>
      </c>
      <c r="D37" t="s">
        <v>2</v>
      </c>
      <c r="E37" t="s">
        <v>2</v>
      </c>
      <c r="F37" t="s">
        <v>2</v>
      </c>
      <c r="G37" t="s">
        <v>20</v>
      </c>
      <c r="H37">
        <v>0</v>
      </c>
      <c r="I37" t="s">
        <v>339</v>
      </c>
    </row>
    <row r="38" spans="1:9" x14ac:dyDescent="0.15">
      <c r="A38">
        <v>2</v>
      </c>
      <c r="B38" t="s">
        <v>340</v>
      </c>
      <c r="C38">
        <v>15</v>
      </c>
      <c r="D38" t="s">
        <v>2</v>
      </c>
      <c r="E38" t="s">
        <v>2</v>
      </c>
      <c r="F38" t="s">
        <v>2</v>
      </c>
      <c r="G38" t="s">
        <v>20</v>
      </c>
      <c r="H38">
        <v>0</v>
      </c>
      <c r="I38" t="s">
        <v>341</v>
      </c>
    </row>
    <row r="39" spans="1:9" x14ac:dyDescent="0.15">
      <c r="A39">
        <v>3</v>
      </c>
      <c r="B39" t="s">
        <v>342</v>
      </c>
      <c r="C39">
        <v>60</v>
      </c>
      <c r="D39" t="s">
        <v>2</v>
      </c>
      <c r="E39" t="s">
        <v>2</v>
      </c>
      <c r="F39" t="s">
        <v>1</v>
      </c>
      <c r="G39" t="s">
        <v>20</v>
      </c>
      <c r="H39">
        <v>5</v>
      </c>
      <c r="I39" t="s">
        <v>343</v>
      </c>
    </row>
    <row r="40" spans="1:9" x14ac:dyDescent="0.15">
      <c r="A40">
        <v>4</v>
      </c>
      <c r="B40" t="s">
        <v>344</v>
      </c>
      <c r="C40">
        <v>50</v>
      </c>
      <c r="D40" t="s">
        <v>2</v>
      </c>
      <c r="E40" t="s">
        <v>2</v>
      </c>
      <c r="F40" t="s">
        <v>2</v>
      </c>
      <c r="G40" t="s">
        <v>20</v>
      </c>
      <c r="H40">
        <v>2</v>
      </c>
      <c r="I40" t="s">
        <v>345</v>
      </c>
    </row>
    <row r="41" spans="1:9" x14ac:dyDescent="0.15">
      <c r="A41">
        <v>5</v>
      </c>
      <c r="B41" t="s">
        <v>346</v>
      </c>
      <c r="C41">
        <v>80</v>
      </c>
      <c r="D41" t="s">
        <v>2</v>
      </c>
      <c r="E41" t="s">
        <v>2</v>
      </c>
      <c r="F41" t="s">
        <v>2</v>
      </c>
      <c r="G41" t="s">
        <v>20</v>
      </c>
      <c r="H41">
        <v>1</v>
      </c>
      <c r="I41" t="s">
        <v>345</v>
      </c>
    </row>
    <row r="42" spans="1:9" x14ac:dyDescent="0.15">
      <c r="A42">
        <v>1</v>
      </c>
      <c r="B42" t="s">
        <v>347</v>
      </c>
      <c r="C42">
        <v>15</v>
      </c>
      <c r="D42" t="s">
        <v>2</v>
      </c>
      <c r="E42" t="s">
        <v>2</v>
      </c>
      <c r="F42" t="s">
        <v>2</v>
      </c>
      <c r="G42" t="s">
        <v>2</v>
      </c>
      <c r="H42">
        <v>0</v>
      </c>
      <c r="I42" t="s">
        <v>348</v>
      </c>
    </row>
    <row r="43" spans="1:9" x14ac:dyDescent="0.15">
      <c r="A43">
        <v>2</v>
      </c>
      <c r="B43" t="s">
        <v>349</v>
      </c>
      <c r="C43">
        <v>170</v>
      </c>
      <c r="D43" t="s">
        <v>2</v>
      </c>
      <c r="E43" t="s">
        <v>2</v>
      </c>
      <c r="F43" t="s">
        <v>2</v>
      </c>
      <c r="G43" t="s">
        <v>2</v>
      </c>
      <c r="H43">
        <v>12</v>
      </c>
      <c r="I43" t="s">
        <v>350</v>
      </c>
    </row>
    <row r="44" spans="1:9" x14ac:dyDescent="0.15">
      <c r="A44">
        <v>3</v>
      </c>
      <c r="B44" t="s">
        <v>351</v>
      </c>
      <c r="C44">
        <v>60</v>
      </c>
      <c r="D44" t="s">
        <v>2</v>
      </c>
      <c r="E44" t="s">
        <v>2</v>
      </c>
      <c r="F44" t="s">
        <v>2</v>
      </c>
      <c r="G44" t="s">
        <v>2</v>
      </c>
      <c r="H44">
        <v>5</v>
      </c>
      <c r="I44" t="s">
        <v>352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6"/>
  <sheetViews>
    <sheetView workbookViewId="0">
      <selection activeCell="C1" sqref="C1"/>
    </sheetView>
  </sheetViews>
  <sheetFormatPr defaultRowHeight="13.5" x14ac:dyDescent="0.15"/>
  <cols>
    <col min="2" max="2" width="19.25" customWidth="1"/>
  </cols>
  <sheetData>
    <row r="1" spans="1:9" x14ac:dyDescent="0.15">
      <c r="B1" t="s">
        <v>439</v>
      </c>
      <c r="C1">
        <v>0</v>
      </c>
    </row>
    <row r="2" spans="1:9" x14ac:dyDescent="0.15">
      <c r="A2">
        <v>1</v>
      </c>
      <c r="B2" t="s">
        <v>353</v>
      </c>
      <c r="C2">
        <v>35</v>
      </c>
      <c r="D2" t="s">
        <v>2</v>
      </c>
      <c r="E2" t="s">
        <v>2</v>
      </c>
      <c r="F2" t="s">
        <v>2</v>
      </c>
      <c r="G2" t="s">
        <v>20</v>
      </c>
      <c r="H2">
        <v>1</v>
      </c>
      <c r="I2" t="s">
        <v>354</v>
      </c>
    </row>
    <row r="3" spans="1:9" x14ac:dyDescent="0.15">
      <c r="A3">
        <v>2</v>
      </c>
      <c r="B3" t="s">
        <v>355</v>
      </c>
      <c r="C3">
        <v>40</v>
      </c>
      <c r="D3" t="s">
        <v>2</v>
      </c>
      <c r="E3" t="s">
        <v>2</v>
      </c>
      <c r="F3" t="s">
        <v>2</v>
      </c>
      <c r="G3" t="s">
        <v>2</v>
      </c>
      <c r="H3">
        <v>1</v>
      </c>
      <c r="I3" t="s">
        <v>164</v>
      </c>
    </row>
    <row r="4" spans="1:9" x14ac:dyDescent="0.15">
      <c r="A4">
        <v>3</v>
      </c>
      <c r="B4" t="s">
        <v>356</v>
      </c>
      <c r="C4">
        <v>60</v>
      </c>
      <c r="D4" t="s">
        <v>2</v>
      </c>
      <c r="E4" t="s">
        <v>20</v>
      </c>
      <c r="F4" t="s">
        <v>2</v>
      </c>
      <c r="G4" t="s">
        <v>2</v>
      </c>
      <c r="H4">
        <v>3</v>
      </c>
      <c r="I4" t="s">
        <v>315</v>
      </c>
    </row>
    <row r="5" spans="1:9" x14ac:dyDescent="0.15">
      <c r="A5">
        <v>4</v>
      </c>
      <c r="B5" t="s">
        <v>357</v>
      </c>
      <c r="C5">
        <v>50</v>
      </c>
      <c r="D5" t="s">
        <v>2</v>
      </c>
      <c r="E5" t="s">
        <v>20</v>
      </c>
      <c r="F5" t="s">
        <v>2</v>
      </c>
      <c r="G5" t="s">
        <v>2</v>
      </c>
      <c r="H5">
        <v>3</v>
      </c>
      <c r="I5" t="s">
        <v>78</v>
      </c>
    </row>
    <row r="6" spans="1:9" x14ac:dyDescent="0.15">
      <c r="A6">
        <v>5</v>
      </c>
      <c r="B6" t="s">
        <v>358</v>
      </c>
      <c r="C6">
        <v>25</v>
      </c>
      <c r="D6" t="s">
        <v>2</v>
      </c>
      <c r="E6" t="s">
        <v>2</v>
      </c>
      <c r="F6" t="s">
        <v>2</v>
      </c>
      <c r="G6" t="s">
        <v>2</v>
      </c>
      <c r="H6">
        <v>1</v>
      </c>
      <c r="I6" t="s">
        <v>348</v>
      </c>
    </row>
    <row r="7" spans="1:9" x14ac:dyDescent="0.15">
      <c r="A7">
        <v>6</v>
      </c>
      <c r="B7" t="s">
        <v>359</v>
      </c>
      <c r="C7">
        <v>50</v>
      </c>
      <c r="D7" t="s">
        <v>20</v>
      </c>
      <c r="E7" t="s">
        <v>2</v>
      </c>
      <c r="F7" t="s">
        <v>2</v>
      </c>
      <c r="G7" t="s">
        <v>2</v>
      </c>
      <c r="H7">
        <v>1</v>
      </c>
      <c r="I7" t="s">
        <v>360</v>
      </c>
    </row>
    <row r="8" spans="1:9" x14ac:dyDescent="0.15">
      <c r="A8">
        <v>7</v>
      </c>
      <c r="B8" t="s">
        <v>361</v>
      </c>
      <c r="C8">
        <v>60</v>
      </c>
      <c r="D8" t="s">
        <v>20</v>
      </c>
      <c r="E8" t="s">
        <v>2</v>
      </c>
      <c r="F8" t="s">
        <v>2</v>
      </c>
      <c r="G8" t="s">
        <v>2</v>
      </c>
      <c r="H8">
        <v>1</v>
      </c>
      <c r="I8" t="s">
        <v>360</v>
      </c>
    </row>
    <row r="9" spans="1:9" x14ac:dyDescent="0.15">
      <c r="A9">
        <v>8</v>
      </c>
      <c r="B9" t="s">
        <v>362</v>
      </c>
      <c r="C9">
        <v>55</v>
      </c>
      <c r="D9" t="s">
        <v>2</v>
      </c>
      <c r="E9" t="s">
        <v>20</v>
      </c>
      <c r="F9" t="s">
        <v>2</v>
      </c>
      <c r="G9" t="s">
        <v>2</v>
      </c>
      <c r="H9">
        <v>3</v>
      </c>
      <c r="I9" t="s">
        <v>80</v>
      </c>
    </row>
    <row r="10" spans="1:9" x14ac:dyDescent="0.15">
      <c r="A10">
        <v>9</v>
      </c>
      <c r="B10" t="s">
        <v>363</v>
      </c>
      <c r="C10">
        <v>100</v>
      </c>
      <c r="D10" t="s">
        <v>20</v>
      </c>
      <c r="E10" t="s">
        <v>20</v>
      </c>
      <c r="F10" t="s">
        <v>2</v>
      </c>
      <c r="G10" t="s">
        <v>1</v>
      </c>
      <c r="H10">
        <v>3</v>
      </c>
      <c r="I10" t="s">
        <v>310</v>
      </c>
    </row>
    <row r="11" spans="1:9" x14ac:dyDescent="0.15">
      <c r="A11">
        <v>10</v>
      </c>
      <c r="B11" t="s">
        <v>364</v>
      </c>
      <c r="C11">
        <v>180</v>
      </c>
      <c r="D11" t="s">
        <v>20</v>
      </c>
      <c r="E11" t="s">
        <v>20</v>
      </c>
      <c r="F11" t="s">
        <v>2</v>
      </c>
      <c r="G11" t="s">
        <v>1</v>
      </c>
      <c r="H11">
        <v>11</v>
      </c>
      <c r="I11" t="s">
        <v>365</v>
      </c>
    </row>
    <row r="12" spans="1:9" x14ac:dyDescent="0.15">
      <c r="A12">
        <v>1</v>
      </c>
      <c r="B12" t="s">
        <v>366</v>
      </c>
      <c r="C12">
        <v>10</v>
      </c>
      <c r="D12" t="s">
        <v>2</v>
      </c>
      <c r="E12" t="s">
        <v>2</v>
      </c>
      <c r="F12" t="s">
        <v>2</v>
      </c>
      <c r="G12" t="s">
        <v>2</v>
      </c>
      <c r="H12">
        <v>1</v>
      </c>
      <c r="I12" t="s">
        <v>288</v>
      </c>
    </row>
    <row r="13" spans="1:9" x14ac:dyDescent="0.15">
      <c r="A13">
        <v>2</v>
      </c>
      <c r="B13" t="s">
        <v>367</v>
      </c>
      <c r="C13">
        <v>10</v>
      </c>
      <c r="D13" t="s">
        <v>2</v>
      </c>
      <c r="E13" t="s">
        <v>2</v>
      </c>
      <c r="F13" t="s">
        <v>2</v>
      </c>
      <c r="G13" t="s">
        <v>20</v>
      </c>
      <c r="H13">
        <v>0</v>
      </c>
      <c r="I13" t="s">
        <v>354</v>
      </c>
    </row>
    <row r="14" spans="1:9" x14ac:dyDescent="0.15">
      <c r="A14">
        <v>3</v>
      </c>
      <c r="B14" t="s">
        <v>368</v>
      </c>
      <c r="C14">
        <v>90</v>
      </c>
      <c r="D14" t="s">
        <v>20</v>
      </c>
      <c r="E14" t="s">
        <v>20</v>
      </c>
      <c r="F14" t="s">
        <v>2</v>
      </c>
      <c r="G14" t="s">
        <v>2</v>
      </c>
      <c r="H14">
        <v>5</v>
      </c>
      <c r="I14" t="s">
        <v>80</v>
      </c>
    </row>
    <row r="15" spans="1:9" x14ac:dyDescent="0.15">
      <c r="A15">
        <v>4</v>
      </c>
      <c r="B15" t="s">
        <v>369</v>
      </c>
      <c r="C15">
        <v>110</v>
      </c>
      <c r="D15" t="s">
        <v>20</v>
      </c>
      <c r="E15" t="s">
        <v>2</v>
      </c>
      <c r="F15" t="s">
        <v>2</v>
      </c>
      <c r="G15" t="s">
        <v>20</v>
      </c>
      <c r="H15">
        <v>5</v>
      </c>
      <c r="I15" t="s">
        <v>370</v>
      </c>
    </row>
    <row r="16" spans="1:9" x14ac:dyDescent="0.15">
      <c r="A16">
        <v>5</v>
      </c>
      <c r="B16" t="s">
        <v>371</v>
      </c>
      <c r="C16">
        <v>80</v>
      </c>
      <c r="D16" t="s">
        <v>2</v>
      </c>
      <c r="E16" t="s">
        <v>1</v>
      </c>
      <c r="F16" t="s">
        <v>2</v>
      </c>
      <c r="G16" t="s">
        <v>20</v>
      </c>
      <c r="H16">
        <v>1</v>
      </c>
      <c r="I16" t="s">
        <v>80</v>
      </c>
    </row>
    <row r="17" spans="1:9" x14ac:dyDescent="0.15">
      <c r="A17">
        <v>6</v>
      </c>
      <c r="B17" t="s">
        <v>372</v>
      </c>
      <c r="C17">
        <v>200</v>
      </c>
      <c r="D17" t="s">
        <v>20</v>
      </c>
      <c r="E17" t="s">
        <v>2</v>
      </c>
      <c r="F17" t="s">
        <v>2</v>
      </c>
      <c r="G17" t="s">
        <v>2</v>
      </c>
      <c r="H17">
        <v>15</v>
      </c>
      <c r="I17" t="s">
        <v>373</v>
      </c>
    </row>
    <row r="18" spans="1:9" x14ac:dyDescent="0.15">
      <c r="A18">
        <v>7</v>
      </c>
      <c r="B18" t="s">
        <v>374</v>
      </c>
      <c r="C18">
        <v>150</v>
      </c>
      <c r="D18" t="s">
        <v>20</v>
      </c>
      <c r="E18" t="s">
        <v>2</v>
      </c>
      <c r="F18" t="s">
        <v>2</v>
      </c>
      <c r="G18" t="s">
        <v>2</v>
      </c>
      <c r="H18">
        <v>6</v>
      </c>
      <c r="I18" t="s">
        <v>375</v>
      </c>
    </row>
    <row r="19" spans="1:9" x14ac:dyDescent="0.15">
      <c r="A19">
        <v>8</v>
      </c>
      <c r="B19" t="s">
        <v>376</v>
      </c>
      <c r="C19">
        <v>200</v>
      </c>
      <c r="D19" t="s">
        <v>20</v>
      </c>
      <c r="E19" t="s">
        <v>2</v>
      </c>
      <c r="F19" t="s">
        <v>2</v>
      </c>
      <c r="G19" t="s">
        <v>1</v>
      </c>
      <c r="H19">
        <v>10</v>
      </c>
      <c r="I19" t="s">
        <v>377</v>
      </c>
    </row>
    <row r="20" spans="1:9" x14ac:dyDescent="0.15">
      <c r="A20">
        <v>9</v>
      </c>
      <c r="B20" t="s">
        <v>378</v>
      </c>
      <c r="C20">
        <v>200</v>
      </c>
      <c r="D20" t="s">
        <v>20</v>
      </c>
      <c r="E20" t="s">
        <v>20</v>
      </c>
      <c r="F20" t="s">
        <v>1</v>
      </c>
      <c r="G20" t="s">
        <v>20</v>
      </c>
      <c r="H20">
        <v>10</v>
      </c>
      <c r="I20" t="s">
        <v>379</v>
      </c>
    </row>
    <row r="21" spans="1:9" x14ac:dyDescent="0.15">
      <c r="A21">
        <v>1</v>
      </c>
      <c r="B21" t="s">
        <v>380</v>
      </c>
      <c r="C21">
        <v>120</v>
      </c>
      <c r="D21" t="s">
        <v>20</v>
      </c>
      <c r="E21" t="s">
        <v>20</v>
      </c>
      <c r="F21" t="s">
        <v>1</v>
      </c>
      <c r="G21" t="s">
        <v>2</v>
      </c>
      <c r="H21">
        <v>6</v>
      </c>
      <c r="I21" t="s">
        <v>381</v>
      </c>
    </row>
    <row r="22" spans="1:9" x14ac:dyDescent="0.15">
      <c r="A22">
        <v>2</v>
      </c>
      <c r="B22" t="s">
        <v>382</v>
      </c>
      <c r="C22">
        <v>100</v>
      </c>
      <c r="D22" t="s">
        <v>20</v>
      </c>
      <c r="E22" t="s">
        <v>20</v>
      </c>
      <c r="F22" t="s">
        <v>1</v>
      </c>
      <c r="G22" t="s">
        <v>2</v>
      </c>
      <c r="H22">
        <v>3</v>
      </c>
      <c r="I22" t="s">
        <v>383</v>
      </c>
    </row>
    <row r="23" spans="1:9" x14ac:dyDescent="0.15">
      <c r="A23">
        <v>3</v>
      </c>
      <c r="B23" t="s">
        <v>384</v>
      </c>
      <c r="C23">
        <v>100</v>
      </c>
      <c r="D23" t="s">
        <v>20</v>
      </c>
      <c r="E23" t="s">
        <v>20</v>
      </c>
      <c r="F23" t="s">
        <v>1</v>
      </c>
      <c r="G23" t="s">
        <v>2</v>
      </c>
      <c r="H23">
        <v>4</v>
      </c>
      <c r="I23" t="s">
        <v>385</v>
      </c>
    </row>
    <row r="24" spans="1:9" x14ac:dyDescent="0.15">
      <c r="A24">
        <v>4</v>
      </c>
      <c r="B24" t="s">
        <v>386</v>
      </c>
      <c r="C24">
        <v>120</v>
      </c>
      <c r="D24" t="s">
        <v>20</v>
      </c>
      <c r="E24" t="s">
        <v>20</v>
      </c>
      <c r="F24" t="s">
        <v>1</v>
      </c>
      <c r="G24" t="s">
        <v>2</v>
      </c>
      <c r="H24">
        <v>6</v>
      </c>
      <c r="I24" t="s">
        <v>387</v>
      </c>
    </row>
    <row r="25" spans="1:9" x14ac:dyDescent="0.15">
      <c r="A25">
        <v>5</v>
      </c>
      <c r="B25" t="s">
        <v>388</v>
      </c>
      <c r="C25">
        <v>90</v>
      </c>
      <c r="D25" t="s">
        <v>2</v>
      </c>
      <c r="E25" t="s">
        <v>20</v>
      </c>
      <c r="F25" t="s">
        <v>20</v>
      </c>
      <c r="G25" t="s">
        <v>2</v>
      </c>
      <c r="H25">
        <v>8</v>
      </c>
      <c r="I25" t="s">
        <v>389</v>
      </c>
    </row>
    <row r="26" spans="1:9" x14ac:dyDescent="0.15">
      <c r="A26">
        <v>6</v>
      </c>
      <c r="B26" t="s">
        <v>390</v>
      </c>
      <c r="C26">
        <v>75</v>
      </c>
      <c r="D26" t="s">
        <v>2</v>
      </c>
      <c r="E26" t="s">
        <v>2</v>
      </c>
      <c r="F26" t="s">
        <v>2</v>
      </c>
      <c r="G26" t="s">
        <v>2</v>
      </c>
      <c r="H26">
        <v>8</v>
      </c>
      <c r="I26" t="s">
        <v>389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9"/>
  <sheetViews>
    <sheetView topLeftCell="A37" workbookViewId="0">
      <selection activeCell="B2" sqref="B2"/>
    </sheetView>
  </sheetViews>
  <sheetFormatPr defaultRowHeight="13.5" x14ac:dyDescent="0.15"/>
  <sheetData>
    <row r="1" spans="1:2" x14ac:dyDescent="0.15">
      <c r="A1" t="s">
        <v>439</v>
      </c>
      <c r="B1">
        <v>0</v>
      </c>
    </row>
    <row r="2" spans="1:2" x14ac:dyDescent="0.15">
      <c r="A2" t="s">
        <v>391</v>
      </c>
      <c r="B2">
        <v>7</v>
      </c>
    </row>
    <row r="3" spans="1:2" x14ac:dyDescent="0.15">
      <c r="A3" t="s">
        <v>392</v>
      </c>
      <c r="B3">
        <v>82</v>
      </c>
    </row>
    <row r="4" spans="1:2" x14ac:dyDescent="0.15">
      <c r="A4" t="s">
        <v>393</v>
      </c>
      <c r="B4">
        <v>137</v>
      </c>
    </row>
    <row r="5" spans="1:2" x14ac:dyDescent="0.15">
      <c r="A5" t="s">
        <v>394</v>
      </c>
      <c r="B5">
        <v>68</v>
      </c>
    </row>
    <row r="6" spans="1:2" x14ac:dyDescent="0.15">
      <c r="A6" t="s">
        <v>395</v>
      </c>
      <c r="B6">
        <v>196</v>
      </c>
    </row>
    <row r="7" spans="1:2" x14ac:dyDescent="0.15">
      <c r="A7" t="s">
        <v>396</v>
      </c>
      <c r="B7">
        <v>71</v>
      </c>
    </row>
    <row r="8" spans="1:2" x14ac:dyDescent="0.15">
      <c r="A8" t="s">
        <v>397</v>
      </c>
      <c r="B8">
        <v>140</v>
      </c>
    </row>
    <row r="9" spans="1:2" x14ac:dyDescent="0.15">
      <c r="A9" t="s">
        <v>398</v>
      </c>
      <c r="B9">
        <v>88</v>
      </c>
    </row>
    <row r="10" spans="1:2" x14ac:dyDescent="0.15">
      <c r="A10" t="s">
        <v>399</v>
      </c>
      <c r="B10">
        <v>185</v>
      </c>
    </row>
    <row r="11" spans="1:2" x14ac:dyDescent="0.15">
      <c r="A11" t="s">
        <v>400</v>
      </c>
      <c r="B11">
        <v>146</v>
      </c>
    </row>
    <row r="12" spans="1:2" x14ac:dyDescent="0.15">
      <c r="A12" t="s">
        <v>401</v>
      </c>
      <c r="B12">
        <v>238</v>
      </c>
    </row>
    <row r="13" spans="1:2" x14ac:dyDescent="0.15">
      <c r="A13" t="s">
        <v>402</v>
      </c>
      <c r="B13">
        <v>103</v>
      </c>
    </row>
    <row r="14" spans="1:2" x14ac:dyDescent="0.15">
      <c r="A14" t="s">
        <v>403</v>
      </c>
      <c r="B14">
        <v>196</v>
      </c>
    </row>
    <row r="15" spans="1:2" x14ac:dyDescent="0.15">
      <c r="A15" t="s">
        <v>404</v>
      </c>
      <c r="B15">
        <v>219</v>
      </c>
    </row>
    <row r="16" spans="1:2" x14ac:dyDescent="0.15">
      <c r="A16" t="s">
        <v>405</v>
      </c>
      <c r="B16">
        <v>125</v>
      </c>
    </row>
    <row r="17" spans="1:2" x14ac:dyDescent="0.15">
      <c r="A17" t="s">
        <v>406</v>
      </c>
      <c r="B17">
        <v>136</v>
      </c>
    </row>
    <row r="18" spans="1:2" x14ac:dyDescent="0.15">
      <c r="A18" t="s">
        <v>407</v>
      </c>
      <c r="B18">
        <v>343</v>
      </c>
    </row>
    <row r="19" spans="1:2" x14ac:dyDescent="0.15">
      <c r="A19" t="s">
        <v>408</v>
      </c>
      <c r="B19">
        <v>297</v>
      </c>
    </row>
    <row r="20" spans="1:2" x14ac:dyDescent="0.15">
      <c r="A20" t="s">
        <v>409</v>
      </c>
      <c r="B20">
        <v>209</v>
      </c>
    </row>
    <row r="21" spans="1:2" x14ac:dyDescent="0.15">
      <c r="A21" t="s">
        <v>410</v>
      </c>
      <c r="B21">
        <v>281</v>
      </c>
    </row>
    <row r="22" spans="1:2" x14ac:dyDescent="0.15">
      <c r="A22" t="s">
        <v>411</v>
      </c>
      <c r="B22">
        <v>292</v>
      </c>
    </row>
    <row r="23" spans="1:2" x14ac:dyDescent="0.15">
      <c r="A23" t="s">
        <v>412</v>
      </c>
      <c r="B23">
        <v>448</v>
      </c>
    </row>
    <row r="24" spans="1:2" x14ac:dyDescent="0.15">
      <c r="A24" t="s">
        <v>413</v>
      </c>
      <c r="B24">
        <v>397</v>
      </c>
    </row>
    <row r="25" spans="1:2" x14ac:dyDescent="0.15">
      <c r="A25" t="s">
        <v>414</v>
      </c>
      <c r="B25">
        <v>352</v>
      </c>
    </row>
    <row r="26" spans="1:2" x14ac:dyDescent="0.15">
      <c r="A26" t="s">
        <v>415</v>
      </c>
      <c r="B26">
        <v>247</v>
      </c>
    </row>
    <row r="27" spans="1:2" x14ac:dyDescent="0.15">
      <c r="A27" t="s">
        <v>416</v>
      </c>
      <c r="B27">
        <v>189</v>
      </c>
    </row>
    <row r="28" spans="1:2" x14ac:dyDescent="0.15">
      <c r="A28" t="s">
        <v>417</v>
      </c>
      <c r="B28">
        <v>295</v>
      </c>
    </row>
    <row r="29" spans="1:2" x14ac:dyDescent="0.15">
      <c r="A29" t="s">
        <v>418</v>
      </c>
      <c r="B29">
        <v>353</v>
      </c>
    </row>
    <row r="30" spans="1:2" x14ac:dyDescent="0.15">
      <c r="A30" t="s">
        <v>419</v>
      </c>
      <c r="B30">
        <v>260</v>
      </c>
    </row>
    <row r="31" spans="1:2" x14ac:dyDescent="0.15">
      <c r="A31" t="s">
        <v>420</v>
      </c>
      <c r="B31">
        <v>428</v>
      </c>
    </row>
    <row r="32" spans="1:2" x14ac:dyDescent="0.15">
      <c r="A32" t="s">
        <v>421</v>
      </c>
      <c r="B32">
        <v>211</v>
      </c>
    </row>
    <row r="33" spans="1:2" x14ac:dyDescent="0.15">
      <c r="A33" t="s">
        <v>422</v>
      </c>
      <c r="B33">
        <v>256</v>
      </c>
    </row>
    <row r="34" spans="1:2" x14ac:dyDescent="0.15">
      <c r="A34" t="s">
        <v>423</v>
      </c>
      <c r="B34">
        <v>197</v>
      </c>
    </row>
    <row r="35" spans="1:2" x14ac:dyDescent="0.15">
      <c r="A35" t="s">
        <v>424</v>
      </c>
      <c r="B35">
        <v>17</v>
      </c>
    </row>
    <row r="36" spans="1:2" x14ac:dyDescent="0.15">
      <c r="A36" t="s">
        <v>425</v>
      </c>
      <c r="B36">
        <v>184</v>
      </c>
    </row>
    <row r="37" spans="1:2" x14ac:dyDescent="0.15">
      <c r="A37" t="s">
        <v>426</v>
      </c>
      <c r="B37">
        <v>118</v>
      </c>
    </row>
    <row r="38" spans="1:2" x14ac:dyDescent="0.15">
      <c r="A38" t="s">
        <v>427</v>
      </c>
      <c r="B38">
        <v>131</v>
      </c>
    </row>
    <row r="39" spans="1:2" x14ac:dyDescent="0.15">
      <c r="A39" t="s">
        <v>428</v>
      </c>
      <c r="B39">
        <v>160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主食</vt:lpstr>
      <vt:lpstr>主菜</vt:lpstr>
      <vt:lpstr>副菜</vt:lpstr>
      <vt:lpstr>汁もの</vt:lpstr>
      <vt:lpstr>デザート・飲み物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下山み</dc:creator>
  <cp:lastModifiedBy>下山み</cp:lastModifiedBy>
  <dcterms:created xsi:type="dcterms:W3CDTF">2017-07-21T01:33:53Z</dcterms:created>
  <dcterms:modified xsi:type="dcterms:W3CDTF">2017-09-08T06:54:12Z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a797416d-0945-4208-8744-0ef6554999a5</vt:lpwstr>
  </property>
</Properties>
</file>